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unipa-my.sharepoint.com/personal/filippolucaalberto_munafo_unipa_it/Documents/Dottorato/Antigravity/Periodo all'estero/Consumption_Data/01_Raw_Data/MASE_Annual_Provincial/"/>
    </mc:Choice>
  </mc:AlternateContent>
  <xr:revisionPtr revIDLastSave="68" documentId="8_{B1B12F08-94FF-4C20-9097-ADD193404FA2}" xr6:coauthVersionLast="47" xr6:coauthVersionMax="47" xr10:uidLastSave="{B9B73044-6E41-4A6D-A2C6-947727AF59FE}"/>
  <bookViews>
    <workbookView xWindow="-28920" yWindow="-120" windowWidth="29040" windowHeight="1752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9" i="1" l="1"/>
  <c r="F14" i="1"/>
  <c r="E14" i="1"/>
  <c r="F135" i="1"/>
  <c r="F126" i="1"/>
  <c r="F116" i="1"/>
  <c r="F110" i="1"/>
  <c r="F107" i="1"/>
  <c r="F100" i="1"/>
  <c r="F94" i="1"/>
  <c r="F89" i="1"/>
  <c r="F86" i="1"/>
  <c r="F80" i="1"/>
  <c r="F71" i="1"/>
  <c r="F60" i="1"/>
  <c r="F50" i="1"/>
  <c r="F42" i="1"/>
  <c r="F37" i="1"/>
  <c r="F34" i="1"/>
  <c r="F21" i="1"/>
  <c r="F16" i="1"/>
  <c r="F77" i="1"/>
  <c r="E135" i="1"/>
  <c r="D135" i="1"/>
  <c r="C135" i="1"/>
  <c r="G134" i="1"/>
  <c r="G133" i="1"/>
  <c r="G132" i="1"/>
  <c r="G131" i="1"/>
  <c r="G130" i="1"/>
  <c r="G129" i="1"/>
  <c r="G128" i="1"/>
  <c r="G127" i="1"/>
  <c r="E126" i="1"/>
  <c r="D126" i="1"/>
  <c r="C126" i="1"/>
  <c r="C116" i="1"/>
  <c r="C110" i="1"/>
  <c r="C107" i="1"/>
  <c r="C100" i="1"/>
  <c r="C94" i="1"/>
  <c r="C89" i="1"/>
  <c r="C86" i="1"/>
  <c r="C80" i="1"/>
  <c r="C71" i="1"/>
  <c r="C60" i="1"/>
  <c r="C50" i="1"/>
  <c r="C42" i="1"/>
  <c r="C37" i="1"/>
  <c r="C34" i="1"/>
  <c r="C21" i="1"/>
  <c r="C16" i="1"/>
  <c r="C14" i="1"/>
  <c r="C77" i="1"/>
  <c r="G125" i="1"/>
  <c r="G124" i="1"/>
  <c r="G123" i="1"/>
  <c r="G122" i="1"/>
  <c r="G121" i="1"/>
  <c r="G120" i="1"/>
  <c r="G118" i="1"/>
  <c r="G117" i="1"/>
  <c r="E116" i="1"/>
  <c r="D116" i="1"/>
  <c r="G115" i="1"/>
  <c r="G114" i="1"/>
  <c r="G113" i="1"/>
  <c r="G112" i="1"/>
  <c r="G111" i="1"/>
  <c r="D110" i="1"/>
  <c r="E110" i="1"/>
  <c r="E107" i="1"/>
  <c r="E100" i="1"/>
  <c r="E94" i="1"/>
  <c r="E89" i="1"/>
  <c r="E86" i="1"/>
  <c r="E80" i="1"/>
  <c r="E71" i="1"/>
  <c r="E60" i="1"/>
  <c r="E50" i="1"/>
  <c r="E42" i="1"/>
  <c r="E37" i="1"/>
  <c r="E34" i="1"/>
  <c r="E21" i="1"/>
  <c r="E16" i="1"/>
  <c r="E77" i="1"/>
  <c r="G109" i="1"/>
  <c r="G108" i="1"/>
  <c r="D107" i="1"/>
  <c r="G106" i="1"/>
  <c r="G105" i="1"/>
  <c r="G104" i="1"/>
  <c r="G103" i="1"/>
  <c r="G102" i="1"/>
  <c r="G101" i="1"/>
  <c r="D100" i="1"/>
  <c r="G99" i="1"/>
  <c r="G98" i="1"/>
  <c r="G97" i="1"/>
  <c r="G96" i="1"/>
  <c r="G95" i="1"/>
  <c r="D94" i="1"/>
  <c r="G93" i="1"/>
  <c r="G92" i="1"/>
  <c r="G91" i="1"/>
  <c r="G90" i="1"/>
  <c r="D89" i="1"/>
  <c r="G88" i="1"/>
  <c r="G87" i="1"/>
  <c r="D86" i="1"/>
  <c r="G85" i="1"/>
  <c r="G84" i="1"/>
  <c r="G83" i="1"/>
  <c r="G82" i="1"/>
  <c r="G81" i="1"/>
  <c r="D80" i="1"/>
  <c r="G79" i="1"/>
  <c r="G78" i="1"/>
  <c r="D77" i="1"/>
  <c r="G76" i="1"/>
  <c r="G75" i="1"/>
  <c r="G74" i="1"/>
  <c r="G73" i="1"/>
  <c r="G72" i="1"/>
  <c r="D71" i="1"/>
  <c r="G70" i="1"/>
  <c r="G69" i="1"/>
  <c r="G68" i="1"/>
  <c r="G67" i="1"/>
  <c r="G66" i="1"/>
  <c r="G65" i="1"/>
  <c r="G64" i="1"/>
  <c r="G63" i="1"/>
  <c r="G62" i="1"/>
  <c r="G61" i="1"/>
  <c r="D60" i="1"/>
  <c r="G59" i="1"/>
  <c r="G58" i="1"/>
  <c r="G57" i="1"/>
  <c r="G56" i="1"/>
  <c r="G55" i="1"/>
  <c r="G54" i="1"/>
  <c r="G53" i="1"/>
  <c r="G52" i="1"/>
  <c r="G51" i="1"/>
  <c r="D50" i="1"/>
  <c r="G49" i="1"/>
  <c r="G48" i="1"/>
  <c r="G47" i="1"/>
  <c r="G46" i="1"/>
  <c r="G45" i="1"/>
  <c r="G44" i="1"/>
  <c r="G43" i="1"/>
  <c r="D42" i="1"/>
  <c r="G41" i="1"/>
  <c r="G40" i="1"/>
  <c r="G39" i="1"/>
  <c r="G38" i="1"/>
  <c r="D37" i="1"/>
  <c r="G36" i="1"/>
  <c r="G35" i="1"/>
  <c r="D34" i="1"/>
  <c r="G33" i="1"/>
  <c r="G32" i="1"/>
  <c r="G31" i="1"/>
  <c r="G30" i="1"/>
  <c r="G29" i="1"/>
  <c r="G28" i="1"/>
  <c r="G27" i="1"/>
  <c r="G26" i="1"/>
  <c r="G25" i="1"/>
  <c r="G24" i="1"/>
  <c r="G23" i="1"/>
  <c r="G22" i="1"/>
  <c r="D21" i="1"/>
  <c r="G20" i="1"/>
  <c r="G19" i="1"/>
  <c r="G18" i="1"/>
  <c r="G17" i="1"/>
  <c r="D16" i="1"/>
  <c r="G15" i="1"/>
  <c r="D14" i="1"/>
  <c r="G13" i="1"/>
  <c r="G12" i="1"/>
  <c r="G11" i="1"/>
  <c r="G10" i="1"/>
  <c r="G9" i="1"/>
  <c r="G8" i="1"/>
  <c r="G7" i="1"/>
  <c r="G6" i="1"/>
  <c r="G100" i="1" l="1"/>
  <c r="G116" i="1"/>
  <c r="G50" i="1"/>
  <c r="G126" i="1"/>
  <c r="G16" i="1"/>
  <c r="E136" i="1"/>
  <c r="G110" i="1"/>
  <c r="G80" i="1"/>
  <c r="G42" i="1"/>
  <c r="G34" i="1"/>
  <c r="D136" i="1"/>
  <c r="G37" i="1"/>
  <c r="G71" i="1"/>
  <c r="G94" i="1"/>
  <c r="G89" i="1"/>
  <c r="G60" i="1"/>
  <c r="G77" i="1"/>
  <c r="G135" i="1"/>
  <c r="F136" i="1"/>
  <c r="J71" i="1" s="1"/>
  <c r="G107" i="1"/>
  <c r="G21" i="1"/>
  <c r="G86" i="1"/>
  <c r="C136" i="1"/>
  <c r="H60" i="1" s="1"/>
  <c r="G14" i="1"/>
  <c r="H110" i="1" l="1"/>
  <c r="J13" i="1"/>
  <c r="J25" i="1"/>
  <c r="J49" i="1"/>
  <c r="J61" i="1"/>
  <c r="J73" i="1"/>
  <c r="J85" i="1"/>
  <c r="J97" i="1"/>
  <c r="J109" i="1"/>
  <c r="J121" i="1"/>
  <c r="J133" i="1"/>
  <c r="J17" i="1"/>
  <c r="J29" i="1"/>
  <c r="J41" i="1"/>
  <c r="J53" i="1"/>
  <c r="J65" i="1"/>
  <c r="J101" i="1"/>
  <c r="J113" i="1"/>
  <c r="J125" i="1"/>
  <c r="J6" i="1"/>
  <c r="J9" i="1"/>
  <c r="J33" i="1"/>
  <c r="J57" i="1"/>
  <c r="J81" i="1"/>
  <c r="J105" i="1"/>
  <c r="J129" i="1"/>
  <c r="J18" i="1"/>
  <c r="J30" i="1"/>
  <c r="J54" i="1"/>
  <c r="J66" i="1"/>
  <c r="J78" i="1"/>
  <c r="J90" i="1"/>
  <c r="J102" i="1"/>
  <c r="J114" i="1"/>
  <c r="J126" i="1"/>
  <c r="J7" i="1"/>
  <c r="J19" i="1"/>
  <c r="J31" i="1"/>
  <c r="J43" i="1"/>
  <c r="J55" i="1"/>
  <c r="J67" i="1"/>
  <c r="J79" i="1"/>
  <c r="J91" i="1"/>
  <c r="J103" i="1"/>
  <c r="J115" i="1"/>
  <c r="J127" i="1"/>
  <c r="J8" i="1"/>
  <c r="J20" i="1"/>
  <c r="J32" i="1"/>
  <c r="J44" i="1"/>
  <c r="J56" i="1"/>
  <c r="J68" i="1"/>
  <c r="J92" i="1"/>
  <c r="J104" i="1"/>
  <c r="J128" i="1"/>
  <c r="J45" i="1"/>
  <c r="J69" i="1"/>
  <c r="J93" i="1"/>
  <c r="J23" i="1"/>
  <c r="J47" i="1"/>
  <c r="J95" i="1"/>
  <c r="J118" i="1"/>
  <c r="J24" i="1"/>
  <c r="J48" i="1"/>
  <c r="J72" i="1"/>
  <c r="J96" i="1"/>
  <c r="J119" i="1"/>
  <c r="J26" i="1"/>
  <c r="J50" i="1"/>
  <c r="J74" i="1"/>
  <c r="J98" i="1"/>
  <c r="J120" i="1"/>
  <c r="J27" i="1"/>
  <c r="J51" i="1"/>
  <c r="J75" i="1"/>
  <c r="J99" i="1"/>
  <c r="J122" i="1"/>
  <c r="J28" i="1"/>
  <c r="J52" i="1"/>
  <c r="J76" i="1"/>
  <c r="J123" i="1"/>
  <c r="J11" i="1"/>
  <c r="J46" i="1"/>
  <c r="J87" i="1"/>
  <c r="J131" i="1"/>
  <c r="J12" i="1"/>
  <c r="J58" i="1"/>
  <c r="J88" i="1"/>
  <c r="J132" i="1"/>
  <c r="J34" i="1"/>
  <c r="J59" i="1"/>
  <c r="J134" i="1"/>
  <c r="J15" i="1"/>
  <c r="J60" i="1"/>
  <c r="J106" i="1"/>
  <c r="J135" i="1"/>
  <c r="J16" i="1"/>
  <c r="J62" i="1"/>
  <c r="J107" i="1"/>
  <c r="J136" i="1"/>
  <c r="J22" i="1"/>
  <c r="J63" i="1"/>
  <c r="J108" i="1"/>
  <c r="J64" i="1"/>
  <c r="J110" i="1"/>
  <c r="J35" i="1"/>
  <c r="J70" i="1"/>
  <c r="J111" i="1"/>
  <c r="J36" i="1"/>
  <c r="J82" i="1"/>
  <c r="J112" i="1"/>
  <c r="J38" i="1"/>
  <c r="J83" i="1"/>
  <c r="J117" i="1"/>
  <c r="J39" i="1"/>
  <c r="J84" i="1"/>
  <c r="J124" i="1"/>
  <c r="J10" i="1"/>
  <c r="J40" i="1"/>
  <c r="J86" i="1"/>
  <c r="J130" i="1"/>
  <c r="J21" i="1"/>
  <c r="I14" i="1"/>
  <c r="I26" i="1"/>
  <c r="I38" i="1"/>
  <c r="I62" i="1"/>
  <c r="I18" i="1"/>
  <c r="I30" i="1"/>
  <c r="I54" i="1"/>
  <c r="I66" i="1"/>
  <c r="I78" i="1"/>
  <c r="I90" i="1"/>
  <c r="I102" i="1"/>
  <c r="I114" i="1"/>
  <c r="I126" i="1"/>
  <c r="I45" i="1"/>
  <c r="I81" i="1"/>
  <c r="I117" i="1"/>
  <c r="I129" i="1"/>
  <c r="I10" i="1"/>
  <c r="I22" i="1"/>
  <c r="I7" i="1"/>
  <c r="I19" i="1"/>
  <c r="I31" i="1"/>
  <c r="I43" i="1"/>
  <c r="I55" i="1"/>
  <c r="I67" i="1"/>
  <c r="I79" i="1"/>
  <c r="I91" i="1"/>
  <c r="I103" i="1"/>
  <c r="I115" i="1"/>
  <c r="I127" i="1"/>
  <c r="I8" i="1"/>
  <c r="I20" i="1"/>
  <c r="I32" i="1"/>
  <c r="I44" i="1"/>
  <c r="I56" i="1"/>
  <c r="I68" i="1"/>
  <c r="I92" i="1"/>
  <c r="I104" i="1"/>
  <c r="I128" i="1"/>
  <c r="I9" i="1"/>
  <c r="I33" i="1"/>
  <c r="I57" i="1"/>
  <c r="I69" i="1"/>
  <c r="I93" i="1"/>
  <c r="I105" i="1"/>
  <c r="I11" i="1"/>
  <c r="I35" i="1"/>
  <c r="I53" i="1"/>
  <c r="I74" i="1"/>
  <c r="I94" i="1"/>
  <c r="I130" i="1"/>
  <c r="I12" i="1"/>
  <c r="I36" i="1"/>
  <c r="I13" i="1"/>
  <c r="I59" i="1"/>
  <c r="I76" i="1"/>
  <c r="I96" i="1"/>
  <c r="I112" i="1"/>
  <c r="I132" i="1"/>
  <c r="I15" i="1"/>
  <c r="I39" i="1"/>
  <c r="I77" i="1"/>
  <c r="I97" i="1"/>
  <c r="I113" i="1"/>
  <c r="I133" i="1"/>
  <c r="I40" i="1"/>
  <c r="I61" i="1"/>
  <c r="I82" i="1"/>
  <c r="I98" i="1"/>
  <c r="I118" i="1"/>
  <c r="I134" i="1"/>
  <c r="I41" i="1"/>
  <c r="I99" i="1"/>
  <c r="I123" i="1"/>
  <c r="I46" i="1"/>
  <c r="I72" i="1"/>
  <c r="I124" i="1"/>
  <c r="I23" i="1"/>
  <c r="I6" i="1"/>
  <c r="I58" i="1"/>
  <c r="I63" i="1"/>
  <c r="I27" i="1"/>
  <c r="I47" i="1"/>
  <c r="I73" i="1"/>
  <c r="I101" i="1"/>
  <c r="I125" i="1"/>
  <c r="I48" i="1"/>
  <c r="I75" i="1"/>
  <c r="I106" i="1"/>
  <c r="I131" i="1"/>
  <c r="I49" i="1"/>
  <c r="I83" i="1"/>
  <c r="I135" i="1"/>
  <c r="I17" i="1"/>
  <c r="I51" i="1"/>
  <c r="I84" i="1"/>
  <c r="I108" i="1"/>
  <c r="I136" i="1"/>
  <c r="I52" i="1"/>
  <c r="I85" i="1"/>
  <c r="I109" i="1"/>
  <c r="I24" i="1"/>
  <c r="I86" i="1"/>
  <c r="I111" i="1"/>
  <c r="I25" i="1"/>
  <c r="I87" i="1"/>
  <c r="I119" i="1"/>
  <c r="I64" i="1"/>
  <c r="I88" i="1"/>
  <c r="I120" i="1"/>
  <c r="I121" i="1"/>
  <c r="I122" i="1"/>
  <c r="I65" i="1"/>
  <c r="I28" i="1"/>
  <c r="I29" i="1"/>
  <c r="I70" i="1"/>
  <c r="I89" i="1"/>
  <c r="I95" i="1"/>
  <c r="H80" i="1"/>
  <c r="H34" i="1"/>
  <c r="H50" i="1"/>
  <c r="I16" i="1"/>
  <c r="I116" i="1"/>
  <c r="J116" i="1"/>
  <c r="I60" i="1"/>
  <c r="J89" i="1"/>
  <c r="J37" i="1"/>
  <c r="I34" i="1"/>
  <c r="I37" i="1"/>
  <c r="J100" i="1"/>
  <c r="J77" i="1"/>
  <c r="J80" i="1"/>
  <c r="I80" i="1"/>
  <c r="H71" i="1"/>
  <c r="H116" i="1"/>
  <c r="J14" i="1"/>
  <c r="J94" i="1"/>
  <c r="I110" i="1"/>
  <c r="I71" i="1"/>
  <c r="H21" i="1"/>
  <c r="H37" i="1"/>
  <c r="I42" i="1"/>
  <c r="I21" i="1"/>
  <c r="I100" i="1"/>
  <c r="H7" i="1"/>
  <c r="H19" i="1"/>
  <c r="H31" i="1"/>
  <c r="H43" i="1"/>
  <c r="H55" i="1"/>
  <c r="H67" i="1"/>
  <c r="H79" i="1"/>
  <c r="H91" i="1"/>
  <c r="H103" i="1"/>
  <c r="H115" i="1"/>
  <c r="H127" i="1"/>
  <c r="H22" i="1"/>
  <c r="H46" i="1"/>
  <c r="H70" i="1"/>
  <c r="H106" i="1"/>
  <c r="H118" i="1"/>
  <c r="H8" i="1"/>
  <c r="H20" i="1"/>
  <c r="H32" i="1"/>
  <c r="H44" i="1"/>
  <c r="H56" i="1"/>
  <c r="H68" i="1"/>
  <c r="H92" i="1"/>
  <c r="H104" i="1"/>
  <c r="H128" i="1"/>
  <c r="H9" i="1"/>
  <c r="H33" i="1"/>
  <c r="H45" i="1"/>
  <c r="H57" i="1"/>
  <c r="H69" i="1"/>
  <c r="H81" i="1"/>
  <c r="H93" i="1"/>
  <c r="H105" i="1"/>
  <c r="H117" i="1"/>
  <c r="H129" i="1"/>
  <c r="H10" i="1"/>
  <c r="H58" i="1"/>
  <c r="H82" i="1"/>
  <c r="H94" i="1"/>
  <c r="H130" i="1"/>
  <c r="H15" i="1"/>
  <c r="H35" i="1"/>
  <c r="H51" i="1"/>
  <c r="H87" i="1"/>
  <c r="H107" i="1"/>
  <c r="H123" i="1"/>
  <c r="H17" i="1"/>
  <c r="H53" i="1"/>
  <c r="H73" i="1"/>
  <c r="H89" i="1"/>
  <c r="H109" i="1"/>
  <c r="H125" i="1"/>
  <c r="H18" i="1"/>
  <c r="H38" i="1"/>
  <c r="H54" i="1"/>
  <c r="H74" i="1"/>
  <c r="H90" i="1"/>
  <c r="H126" i="1"/>
  <c r="H23" i="1"/>
  <c r="H39" i="1"/>
  <c r="H59" i="1"/>
  <c r="H75" i="1"/>
  <c r="H95" i="1"/>
  <c r="H24" i="1"/>
  <c r="H48" i="1"/>
  <c r="H76" i="1"/>
  <c r="H100" i="1"/>
  <c r="H124" i="1"/>
  <c r="H25" i="1"/>
  <c r="H49" i="1"/>
  <c r="H77" i="1"/>
  <c r="H101" i="1"/>
  <c r="H131" i="1"/>
  <c r="H136" i="1"/>
  <c r="H88" i="1"/>
  <c r="H64" i="1"/>
  <c r="H41" i="1"/>
  <c r="H26" i="1"/>
  <c r="H78" i="1"/>
  <c r="H102" i="1"/>
  <c r="H132" i="1"/>
  <c r="H27" i="1"/>
  <c r="H52" i="1"/>
  <c r="H83" i="1"/>
  <c r="H108" i="1"/>
  <c r="H133" i="1"/>
  <c r="H28" i="1"/>
  <c r="H84" i="1"/>
  <c r="H111" i="1"/>
  <c r="H134" i="1"/>
  <c r="H29" i="1"/>
  <c r="H61" i="1"/>
  <c r="H85" i="1"/>
  <c r="H112" i="1"/>
  <c r="H135" i="1"/>
  <c r="H30" i="1"/>
  <c r="H62" i="1"/>
  <c r="H86" i="1"/>
  <c r="H113" i="1"/>
  <c r="H11" i="1"/>
  <c r="H36" i="1"/>
  <c r="H63" i="1"/>
  <c r="H114" i="1"/>
  <c r="H6" i="1"/>
  <c r="H12" i="1"/>
  <c r="H40" i="1"/>
  <c r="H96" i="1"/>
  <c r="H119" i="1"/>
  <c r="H13" i="1"/>
  <c r="H65" i="1"/>
  <c r="H97" i="1"/>
  <c r="H120" i="1"/>
  <c r="H47" i="1"/>
  <c r="H66" i="1"/>
  <c r="H72" i="1"/>
  <c r="H99" i="1"/>
  <c r="H121" i="1"/>
  <c r="H122" i="1"/>
  <c r="H14" i="1"/>
  <c r="H16" i="1"/>
  <c r="H42" i="1"/>
  <c r="H98" i="1"/>
  <c r="J42" i="1"/>
  <c r="I50" i="1"/>
  <c r="I107" i="1"/>
  <c r="G136" i="1"/>
  <c r="K96" i="1" l="1"/>
  <c r="K108" i="1"/>
  <c r="K120" i="1"/>
  <c r="K132" i="1"/>
  <c r="K124" i="1"/>
  <c r="K136" i="1"/>
  <c r="K125" i="1"/>
  <c r="K126" i="1"/>
  <c r="K127" i="1"/>
  <c r="K128" i="1"/>
  <c r="K130" i="1"/>
  <c r="K35" i="1"/>
  <c r="K59" i="1"/>
  <c r="K83" i="1"/>
  <c r="K131" i="1"/>
  <c r="K13" i="1"/>
  <c r="K61" i="1"/>
  <c r="K85" i="1"/>
  <c r="K109" i="1"/>
  <c r="K133" i="1"/>
  <c r="K38" i="1"/>
  <c r="K62" i="1"/>
  <c r="K134" i="1"/>
  <c r="K135" i="1"/>
  <c r="K97" i="1"/>
  <c r="K57" i="1"/>
  <c r="K98" i="1"/>
  <c r="K73" i="1"/>
  <c r="K74" i="1"/>
  <c r="K81" i="1"/>
  <c r="K93" i="1"/>
  <c r="K23" i="1"/>
  <c r="K25" i="1"/>
  <c r="K105" i="1"/>
  <c r="K26" i="1"/>
  <c r="K117" i="1"/>
  <c r="K118" i="1"/>
  <c r="K33" i="1"/>
  <c r="K119" i="1"/>
  <c r="K45" i="1"/>
  <c r="K121" i="1"/>
  <c r="K46" i="1"/>
  <c r="K122" i="1"/>
  <c r="K47" i="1"/>
  <c r="K123" i="1"/>
  <c r="K49" i="1"/>
  <c r="K129" i="1"/>
  <c r="K95" i="1"/>
  <c r="K99" i="1"/>
  <c r="K76" i="1"/>
  <c r="K66" i="1"/>
  <c r="K103" i="1"/>
  <c r="K88" i="1"/>
  <c r="K114" i="1"/>
  <c r="K68" i="1"/>
  <c r="K48" i="1"/>
  <c r="K51" i="1"/>
  <c r="K64" i="1"/>
  <c r="K104" i="1"/>
  <c r="K78" i="1"/>
  <c r="K112" i="1"/>
  <c r="K11" i="1"/>
  <c r="K55" i="1"/>
  <c r="K56" i="1"/>
  <c r="K10" i="1"/>
  <c r="K27" i="1"/>
  <c r="K6" i="1"/>
  <c r="K67" i="1"/>
  <c r="K58" i="1"/>
  <c r="K18" i="1"/>
  <c r="K72" i="1"/>
  <c r="K30" i="1"/>
  <c r="K106" i="1"/>
  <c r="K90" i="1"/>
  <c r="K111" i="1"/>
  <c r="K17" i="1"/>
  <c r="K69" i="1"/>
  <c r="K39" i="1"/>
  <c r="K102" i="1"/>
  <c r="K65" i="1"/>
  <c r="K115" i="1"/>
  <c r="K22" i="1"/>
  <c r="K63" i="1"/>
  <c r="K29" i="1"/>
  <c r="K8" i="1"/>
  <c r="K9" i="1"/>
  <c r="K70" i="1"/>
  <c r="K87" i="1"/>
  <c r="K41" i="1"/>
  <c r="K20" i="1"/>
  <c r="K54" i="1"/>
  <c r="K53" i="1"/>
  <c r="K19" i="1"/>
  <c r="K32" i="1"/>
  <c r="K113" i="1"/>
  <c r="K7" i="1"/>
  <c r="K12" i="1"/>
  <c r="K101" i="1"/>
  <c r="K31" i="1"/>
  <c r="K44" i="1"/>
  <c r="K43" i="1"/>
  <c r="K24" i="1"/>
  <c r="K36" i="1"/>
  <c r="K28" i="1"/>
  <c r="K15" i="1"/>
  <c r="K40" i="1"/>
  <c r="K79" i="1"/>
  <c r="K92" i="1"/>
  <c r="K82" i="1"/>
  <c r="K75" i="1"/>
  <c r="K91" i="1"/>
  <c r="K52" i="1"/>
  <c r="K84" i="1"/>
  <c r="K37" i="1"/>
  <c r="K100" i="1"/>
  <c r="K86" i="1"/>
  <c r="K14" i="1"/>
  <c r="K71" i="1"/>
  <c r="K60" i="1"/>
  <c r="K110" i="1"/>
  <c r="K80" i="1"/>
  <c r="K116" i="1"/>
  <c r="K34" i="1"/>
  <c r="K21" i="1"/>
  <c r="K94" i="1"/>
  <c r="K16" i="1"/>
  <c r="K77" i="1"/>
  <c r="K50" i="1"/>
  <c r="K107" i="1"/>
  <c r="K89" i="1"/>
  <c r="K42" i="1"/>
</calcChain>
</file>

<file path=xl/sharedStrings.xml><?xml version="1.0" encoding="utf-8"?>
<sst xmlns="http://schemas.openxmlformats.org/spreadsheetml/2006/main" count="224" uniqueCount="149">
  <si>
    <t>TOTALE GENERALE</t>
  </si>
  <si>
    <t>ALESSANDRIA</t>
  </si>
  <si>
    <t/>
  </si>
  <si>
    <t>ASTI</t>
  </si>
  <si>
    <t>BIELLA</t>
  </si>
  <si>
    <t>CUNEO</t>
  </si>
  <si>
    <t>NOVARA</t>
  </si>
  <si>
    <t>TORINO</t>
  </si>
  <si>
    <t>VERBANIA</t>
  </si>
  <si>
    <t>VERCELLI</t>
  </si>
  <si>
    <t>PIEMONTE</t>
  </si>
  <si>
    <t xml:space="preserve">TOTALE </t>
  </si>
  <si>
    <t>AOSTA</t>
  </si>
  <si>
    <t>VALLE D'AOSTA</t>
  </si>
  <si>
    <t>GENOVA</t>
  </si>
  <si>
    <t>LA SPEZIA</t>
  </si>
  <si>
    <t>SAVONA</t>
  </si>
  <si>
    <t>IMPERIA</t>
  </si>
  <si>
    <t>LIGURIA</t>
  </si>
  <si>
    <t>TOTALE</t>
  </si>
  <si>
    <t>BERGAMO</t>
  </si>
  <si>
    <t>BRESCIA</t>
  </si>
  <si>
    <t>COMO</t>
  </si>
  <si>
    <t>CREMONA</t>
  </si>
  <si>
    <t>LECCO</t>
  </si>
  <si>
    <t>LODI</t>
  </si>
  <si>
    <t>MILANO</t>
  </si>
  <si>
    <t>MANTOVA</t>
  </si>
  <si>
    <t>PAVIA</t>
  </si>
  <si>
    <t>SONDRIO</t>
  </si>
  <si>
    <t>VARESE</t>
  </si>
  <si>
    <t>LOMBARDIA</t>
  </si>
  <si>
    <t>BOLZANO</t>
  </si>
  <si>
    <t>TRENTO</t>
  </si>
  <si>
    <t>TRENTINO ALTO ADIGE</t>
  </si>
  <si>
    <t>GORIZIA</t>
  </si>
  <si>
    <t>PORDENONE</t>
  </si>
  <si>
    <t>TRIESTE</t>
  </si>
  <si>
    <t>UDINE</t>
  </si>
  <si>
    <t>FRIULI VENEZIA GIULIA</t>
  </si>
  <si>
    <t>BELLUNO</t>
  </si>
  <si>
    <t>PADOVA</t>
  </si>
  <si>
    <t>ROVIGO</t>
  </si>
  <si>
    <t>TREVISO</t>
  </si>
  <si>
    <t>VENEZIA</t>
  </si>
  <si>
    <t>VICENZA</t>
  </si>
  <si>
    <t>VERONA</t>
  </si>
  <si>
    <t>VENETO</t>
  </si>
  <si>
    <t>BOLOGNA</t>
  </si>
  <si>
    <t>FERRARA</t>
  </si>
  <si>
    <t>FORLI'</t>
  </si>
  <si>
    <t>MODENA</t>
  </si>
  <si>
    <t>PIACENZA</t>
  </si>
  <si>
    <t>PARMA</t>
  </si>
  <si>
    <t>RAVENNA</t>
  </si>
  <si>
    <t>REGGIO EMILIA</t>
  </si>
  <si>
    <t>RIMINI</t>
  </si>
  <si>
    <t>EMILIA ROMAGNA</t>
  </si>
  <si>
    <t>AREZZO</t>
  </si>
  <si>
    <t>FIRENZE</t>
  </si>
  <si>
    <t>GROSSETO</t>
  </si>
  <si>
    <t>LIVORNO</t>
  </si>
  <si>
    <t>LUCCA</t>
  </si>
  <si>
    <t>MASSA CARRARA</t>
  </si>
  <si>
    <t>PISA</t>
  </si>
  <si>
    <t>PRATO</t>
  </si>
  <si>
    <t>PISTOIA</t>
  </si>
  <si>
    <t>SIENA</t>
  </si>
  <si>
    <t>TOSCANA</t>
  </si>
  <si>
    <t>ANCONA</t>
  </si>
  <si>
    <t>ASCOLI PICENO</t>
  </si>
  <si>
    <t>MACERATA</t>
  </si>
  <si>
    <t>PESARO URBINO</t>
  </si>
  <si>
    <t>FERMO</t>
  </si>
  <si>
    <t>MARCHE</t>
  </si>
  <si>
    <t>PERUGIA</t>
  </si>
  <si>
    <t>TERNI</t>
  </si>
  <si>
    <t>UMBRIA</t>
  </si>
  <si>
    <t>FROSINONE</t>
  </si>
  <si>
    <t>LATINA</t>
  </si>
  <si>
    <t>RIETI</t>
  </si>
  <si>
    <t>ROMA</t>
  </si>
  <si>
    <t>VITERBO</t>
  </si>
  <si>
    <t>LAZIO</t>
  </si>
  <si>
    <t>CAMPOBASSO</t>
  </si>
  <si>
    <t>ISERNIA</t>
  </si>
  <si>
    <t>MOLISE</t>
  </si>
  <si>
    <t>AQUILA</t>
  </si>
  <si>
    <t>CHIETI</t>
  </si>
  <si>
    <t>PESCARA</t>
  </si>
  <si>
    <t>TERAMO</t>
  </si>
  <si>
    <t>ABBRUZZO</t>
  </si>
  <si>
    <t>AVELLINO</t>
  </si>
  <si>
    <t>BENEVENTO</t>
  </si>
  <si>
    <t>CASERTA</t>
  </si>
  <si>
    <t>NAPOLI</t>
  </si>
  <si>
    <t>SALERNO</t>
  </si>
  <si>
    <t>CAMPANIA</t>
  </si>
  <si>
    <t>BARI</t>
  </si>
  <si>
    <t>BRINDISI</t>
  </si>
  <si>
    <t>FOGGIA</t>
  </si>
  <si>
    <t>LECCE</t>
  </si>
  <si>
    <t>TARANTO</t>
  </si>
  <si>
    <t>PUGLIA</t>
  </si>
  <si>
    <t>MATERA</t>
  </si>
  <si>
    <t>POTENZA</t>
  </si>
  <si>
    <t>BASILICATA</t>
  </si>
  <si>
    <t>COSENZA</t>
  </si>
  <si>
    <t>CATANZARO</t>
  </si>
  <si>
    <t>CROTONE</t>
  </si>
  <si>
    <t>REGGIO CALABRIA</t>
  </si>
  <si>
    <t>VIBO VALENTIA</t>
  </si>
  <si>
    <t>CALABRIA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</si>
  <si>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</si>
  <si>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</si>
  <si>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</si>
  <si>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</si>
  <si>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</si>
  <si>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</si>
  <si>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</si>
  <si>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</si>
  <si>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</si>
  <si>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SICILIA</t>
  </si>
  <si>
    <t>CAGLIARI</t>
  </si>
  <si>
    <t>NUORO</t>
  </si>
  <si>
    <t>ORISTANO</t>
  </si>
  <si>
    <t>SASSARI</t>
  </si>
  <si>
    <t>SARDEGNA</t>
  </si>
  <si>
    <t>CARBONIA-IGLESIAS</t>
  </si>
  <si>
    <t>MEDIO CAMPIDANO</t>
  </si>
  <si>
    <t>OGLIASTRA</t>
  </si>
  <si>
    <t>OLBIA-TEMPIO</t>
  </si>
  <si>
    <t>BARLETTA-ANDRIA-TRANI</t>
  </si>
  <si>
    <t xml:space="preserve">MONZA </t>
  </si>
  <si>
    <t>Volumi espressi in M Sm3; gas da 10,57275 25-15  kWh/Sm3 (*)</t>
  </si>
  <si>
    <t>(*)  Il Regolamento UE 2015/703 prevede all’articolo n° 13.1 che ogni TSO debba usare un set comune di unità di misura per lo scambio e pubblicazione dei dati relativi al regolamento 715/2009 come esposto
all’articolo 13.2. Il PCS di riferimento precedentemente utilizzato per la normalizzazione dell’energia, 38.100, kJ/Sm³15-15, pertanto diventa 10,57275 kWh/Sm³25-15</t>
  </si>
  <si>
    <t>Ministero dell'Ambiente e della Sicurezza Energetica -                                                                                                          FTA DIV. II - su dati SNAM Rete Gas, S.G.I s.p.a. ed altre</t>
  </si>
  <si>
    <t>% INDUSTRIALE</t>
  </si>
  <si>
    <t>% TERMOELETTRICO</t>
  </si>
  <si>
    <t xml:space="preserve">% RETI DI DISTRIBUZIONE </t>
  </si>
  <si>
    <t>% TOTALE GENERALE</t>
  </si>
  <si>
    <t>Province</t>
  </si>
  <si>
    <t>REGION</t>
  </si>
  <si>
    <t>INDUSTRIAL</t>
  </si>
  <si>
    <t>ThERMOELETTRIC</t>
  </si>
  <si>
    <t>GENERAL</t>
  </si>
  <si>
    <t>TOTAL NATURAL GAS DISTRIBUTED BY PROVINCE</t>
  </si>
  <si>
    <t>TOTAL</t>
  </si>
  <si>
    <t xml:space="preserve"> DISTRIBUTION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</si>
</sst>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3" x14ac:knownFonts="1">
    <font>
      <sz val="10"/>
      <name val="Arial"/>
    </font>
    <font>
      <b/>
      <sz val="14"/>
      <name val="Book Antiqua"/>
      <family val="1"/>
    </font>
    <font>
      <b/>
      <sz val="10"/>
      <name val="Arial"/>
      <family val="2"/>
    </font>
    <font>
      <b/>
      <i/>
      <sz val="12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/>
      <right style="thin">
        <color auto="1"/>
      </right>
      <top style="thick">
        <color theme="1"/>
      </top>
      <bottom style="thin">
        <color auto="1"/>
      </bottom>
      <diagonal/>
    </border>
    <border>
      <left/>
      <right style="thin">
        <color auto="1"/>
      </right>
      <top style="thick">
        <color theme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10" fillId="0" borderId="0"/>
    <xf numFmtId="9" fontId="12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14" fontId="1" fillId="2" borderId="0" xfId="0" applyNumberFormat="1" applyFont="1" applyFill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2" borderId="0" xfId="0" applyFont="1" applyFill="1"/>
    <xf numFmtId="165" fontId="0" fillId="2" borderId="0" xfId="0" applyNumberFormat="1" applyFill="1"/>
    <xf numFmtId="0" fontId="2" fillId="2" borderId="5" xfId="0" applyFont="1" applyFill="1" applyBorder="1"/>
    <xf numFmtId="0" fontId="7" fillId="0" borderId="0" xfId="0" applyFont="1"/>
    <xf numFmtId="0" fontId="6" fillId="2" borderId="6" xfId="0" applyFont="1" applyFill="1" applyBorder="1" applyAlignment="1">
      <alignment horizontal="center" vertical="center" wrapText="1"/>
    </xf>
    <xf numFmtId="0" fontId="9" fillId="0" borderId="0" xfId="0" applyFont="1"/>
    <xf numFmtId="14" fontId="1" fillId="2" borderId="7" xfId="0" applyNumberFormat="1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/>
    </xf>
    <xf numFmtId="164" fontId="6" fillId="2" borderId="5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/>
    <xf numFmtId="0" fontId="7" fillId="0" borderId="10" xfId="0" applyFont="1" applyBorder="1"/>
    <xf numFmtId="164" fontId="2" fillId="2" borderId="11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6" fillId="2" borderId="1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0" fontId="0" fillId="3" borderId="0" xfId="0" applyFill="1"/>
    <xf numFmtId="164" fontId="6" fillId="2" borderId="8" xfId="0" applyNumberFormat="1" applyFont="1" applyFill="1" applyBorder="1"/>
    <xf numFmtId="164" fontId="2" fillId="2" borderId="4" xfId="0" applyNumberFormat="1" applyFont="1" applyFill="1" applyBorder="1"/>
    <xf numFmtId="164" fontId="0" fillId="2" borderId="13" xfId="0" applyNumberFormat="1" applyFill="1" applyBorder="1"/>
    <xf numFmtId="164" fontId="2" fillId="2" borderId="15" xfId="0" applyNumberFormat="1" applyFont="1" applyFill="1" applyBorder="1"/>
    <xf numFmtId="164" fontId="2" fillId="2" borderId="14" xfId="0" applyNumberFormat="1" applyFont="1" applyFill="1" applyBorder="1"/>
    <xf numFmtId="164" fontId="0" fillId="2" borderId="3" xfId="0" applyNumberFormat="1" applyFill="1" applyBorder="1"/>
    <xf numFmtId="164" fontId="0" fillId="2" borderId="3" xfId="0" applyNumberForma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164" fontId="0" fillId="2" borderId="17" xfId="0" applyNumberForma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0" fillId="2" borderId="17" xfId="0" applyNumberFormat="1" applyFill="1" applyBorder="1"/>
    <xf numFmtId="0" fontId="0" fillId="2" borderId="18" xfId="0" applyFill="1" applyBorder="1"/>
    <xf numFmtId="0" fontId="2" fillId="2" borderId="17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0" fillId="2" borderId="19" xfId="0" applyFill="1" applyBorder="1"/>
    <xf numFmtId="0" fontId="2" fillId="2" borderId="17" xfId="0" applyFont="1" applyFill="1" applyBorder="1" applyAlignment="1">
      <alignment horizontal="left" vertical="center"/>
    </xf>
    <xf numFmtId="9" fontId="0" fillId="0" borderId="0" xfId="3" applyFont="1"/>
    <xf numFmtId="10" fontId="0" fillId="0" borderId="0" xfId="3" applyNumberFormat="1" applyFont="1"/>
    <xf numFmtId="0" fontId="2" fillId="0" borderId="1" xfId="0" applyFont="1" applyBorder="1"/>
    <xf numFmtId="0" fontId="11" fillId="0" borderId="0" xfId="0" applyFont="1" applyAlignment="1">
      <alignment wrapText="1"/>
    </xf>
    <xf numFmtId="0" fontId="11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3" fillId="0" borderId="9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4">
    <cellStyle name="Normale" xfId="0" builtinId="0"/>
    <cellStyle name="Normale 2" xfId="1" xr:uid="{00000000-0005-0000-0000-000001000000}"/>
    <cellStyle name="Normale 3" xfId="2" xr:uid="{00000000-0005-0000-0000-000002000000}"/>
    <cellStyle name="Percentual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"/>
  <sheetViews>
    <sheetView tabSelected="1" topLeftCell="B1" zoomScaleNormal="100" workbookViewId="0">
      <pane ySplit="5" topLeftCell="A69" activePane="bottomLeft" state="frozen"/>
      <selection pane="bottomLeft" activeCell="E100" sqref="E100"/>
    </sheetView>
  </sheetViews>
  <sheetFormatPr defaultColWidth="8.85546875" defaultRowHeight="12.75" x14ac:dyDescent="0.2"/>
  <cols>
    <col min="1" max="1" width="36.7109375" customWidth="1"/>
    <col min="2" max="2" width="24" customWidth="1"/>
    <col min="3" max="3" width="18.28515625" customWidth="1"/>
    <col min="4" max="4" width="9.140625" hidden="1" customWidth="1"/>
    <col min="5" max="5" width="23.7109375" customWidth="1"/>
    <col min="6" max="6" width="18.85546875" customWidth="1"/>
    <col min="7" max="7" width="15" customWidth="1"/>
    <col min="8" max="8" width="20" customWidth="1"/>
    <col min="9" max="9" width="24.28515625" bestFit="1" customWidth="1"/>
    <col min="10" max="10" width="20.5703125" customWidth="1"/>
    <col min="11" max="11" width="18.7109375" customWidth="1"/>
  </cols>
  <sheetData>
    <row r="1" spans="1:13" ht="18.75" x14ac:dyDescent="0.3">
      <c r="A1" s="64" t="s">
        <v>146</v>
      </c>
      <c r="B1" s="64"/>
      <c r="C1" s="64"/>
      <c r="D1" s="64"/>
      <c r="E1" s="65"/>
      <c r="F1" s="65"/>
      <c r="G1" s="1"/>
      <c r="H1" s="70" t="s">
        <v>146</v>
      </c>
      <c r="I1" s="70"/>
      <c r="J1" s="70"/>
      <c r="K1" s="70"/>
    </row>
    <row r="2" spans="1:13" ht="18.75" x14ac:dyDescent="0.3">
      <c r="A2" s="66">
        <v>2024</v>
      </c>
      <c r="B2" s="66"/>
      <c r="C2" s="66"/>
      <c r="D2" s="66"/>
      <c r="E2" s="65"/>
      <c r="F2" s="65"/>
      <c r="G2" s="2"/>
      <c r="H2" s="71"/>
      <c r="I2" s="71"/>
      <c r="J2" s="71"/>
      <c r="K2" s="71"/>
    </row>
    <row r="3" spans="1:13" ht="18.75" x14ac:dyDescent="0.3">
      <c r="A3" s="69" t="s">
        <v>134</v>
      </c>
      <c r="B3" s="69"/>
      <c r="C3" s="69"/>
      <c r="D3" s="69"/>
      <c r="E3" s="69"/>
      <c r="F3" s="69"/>
      <c r="G3" s="26"/>
      <c r="H3" s="72" t="s">
        <v>134</v>
      </c>
      <c r="I3" s="73"/>
      <c r="J3" s="73"/>
      <c r="K3" s="74"/>
      <c r="L3" s="61"/>
      <c r="M3" s="61"/>
    </row>
    <row r="4" spans="1:13" ht="13.5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2.25" thickTop="1" x14ac:dyDescent="0.2">
      <c r="A5" s="3" t="s">
        <v>142</v>
      </c>
      <c r="B5" s="3" t="s">
        <v>141</v>
      </c>
      <c r="C5" s="4" t="s">
        <v>143</v>
      </c>
      <c r="D5" s="1"/>
      <c r="E5" s="3" t="s">
        <v>144</v>
      </c>
      <c r="F5" s="24" t="s">
        <v>148</v>
      </c>
      <c r="G5" s="4" t="s">
        <v>145</v>
      </c>
      <c r="H5" s="4" t="s">
        <v>137</v>
      </c>
      <c r="I5" s="3" t="s">
        <v>138</v>
      </c>
      <c r="J5" s="24" t="s">
        <v>139</v>
      </c>
      <c r="K5" s="4" t="s">
        <v>140</v>
      </c>
    </row>
    <row r="6" spans="1:13" x14ac:dyDescent="0.2">
      <c r="A6" s="1"/>
      <c r="B6" s="5" t="s">
        <v>1</v>
      </c>
      <c r="C6" s="6">
        <v>199.2</v>
      </c>
      <c r="D6" s="6">
        <v>0</v>
      </c>
      <c r="E6" s="6">
        <v>72.8</v>
      </c>
      <c r="F6" s="6">
        <v>343.6</v>
      </c>
      <c r="G6" s="7">
        <f>SUM(C6:F6)</f>
        <v>615.6</v>
      </c>
      <c r="H6" s="60">
        <f>C6/$C$136</f>
        <v>1.6592160204303468E-2</v>
      </c>
      <c r="I6" s="60">
        <f>E6/$E$136</f>
        <v>3.4760022154739396E-3</v>
      </c>
      <c r="J6" s="60">
        <f>F6/$F$136</f>
        <v>1.2323672138673594E-2</v>
      </c>
      <c r="K6" s="60">
        <f>G6/$G$136</f>
        <v>1.0119911748319966E-2</v>
      </c>
    </row>
    <row r="7" spans="1:13" x14ac:dyDescent="0.2">
      <c r="A7" s="8" t="s">
        <v>2</v>
      </c>
      <c r="B7" s="9" t="s">
        <v>3</v>
      </c>
      <c r="C7" s="6">
        <v>24.1</v>
      </c>
      <c r="D7" s="6">
        <v>0</v>
      </c>
      <c r="E7" s="6">
        <v>0</v>
      </c>
      <c r="F7" s="6">
        <v>164.6</v>
      </c>
      <c r="G7" s="7">
        <f t="shared" ref="G7:G70" si="0">SUM(C7:F7)</f>
        <v>188.7</v>
      </c>
      <c r="H7" s="60">
        <f t="shared" ref="H7:H70" si="1">C7/$C$136</f>
        <v>2.0073848439945462E-3</v>
      </c>
      <c r="I7" s="60">
        <f t="shared" ref="I7:I70" si="2">E7/$E$136</f>
        <v>0</v>
      </c>
      <c r="J7" s="60">
        <f t="shared" ref="J7:J70" si="3">F7/$F$136</f>
        <v>5.9035984692248937E-3</v>
      </c>
      <c r="K7" s="60">
        <f t="shared" ref="K7:K70" si="4">G7/$G$136</f>
        <v>3.1020587181741026E-3</v>
      </c>
    </row>
    <row r="8" spans="1:13" x14ac:dyDescent="0.2">
      <c r="A8" s="8" t="s">
        <v>2</v>
      </c>
      <c r="B8" s="9" t="s">
        <v>4</v>
      </c>
      <c r="C8" s="6">
        <v>22.4</v>
      </c>
      <c r="D8" s="6">
        <v>0</v>
      </c>
      <c r="E8" s="6">
        <v>0</v>
      </c>
      <c r="F8" s="6">
        <v>143.80000000000001</v>
      </c>
      <c r="G8" s="7">
        <f t="shared" si="0"/>
        <v>166.20000000000002</v>
      </c>
      <c r="H8" s="60">
        <f t="shared" si="1"/>
        <v>1.8657850832148478E-3</v>
      </c>
      <c r="I8" s="60">
        <f t="shared" si="2"/>
        <v>0</v>
      </c>
      <c r="J8" s="60">
        <f t="shared" si="3"/>
        <v>5.1575787355682854E-3</v>
      </c>
      <c r="K8" s="60">
        <f t="shared" si="4"/>
        <v>2.7321789028115309E-3</v>
      </c>
    </row>
    <row r="9" spans="1:13" x14ac:dyDescent="0.2">
      <c r="A9" s="8" t="s">
        <v>2</v>
      </c>
      <c r="B9" s="9" t="s">
        <v>5</v>
      </c>
      <c r="C9" s="6">
        <v>382.8</v>
      </c>
      <c r="D9" s="6">
        <v>0</v>
      </c>
      <c r="E9" s="6">
        <v>155.6</v>
      </c>
      <c r="F9" s="6">
        <v>386.2</v>
      </c>
      <c r="G9" s="7">
        <f t="shared" si="0"/>
        <v>924.59999999999991</v>
      </c>
      <c r="H9" s="60">
        <f t="shared" si="1"/>
        <v>3.1884934368510885E-2</v>
      </c>
      <c r="I9" s="60">
        <f t="shared" si="2"/>
        <v>7.4294772627437498E-3</v>
      </c>
      <c r="J9" s="60">
        <f t="shared" si="3"/>
        <v>1.3851577939335686E-2</v>
      </c>
      <c r="K9" s="60">
        <f t="shared" si="4"/>
        <v>1.5199594545965952E-2</v>
      </c>
    </row>
    <row r="10" spans="1:13" x14ac:dyDescent="0.2">
      <c r="A10" s="8" t="s">
        <v>2</v>
      </c>
      <c r="B10" s="9" t="s">
        <v>6</v>
      </c>
      <c r="C10" s="6">
        <v>130.80000000000001</v>
      </c>
      <c r="D10" s="6">
        <v>0</v>
      </c>
      <c r="E10" s="6">
        <v>150.9</v>
      </c>
      <c r="F10" s="6">
        <v>312.39999999999998</v>
      </c>
      <c r="G10" s="7">
        <f t="shared" si="0"/>
        <v>594.1</v>
      </c>
      <c r="H10" s="60">
        <f t="shared" si="1"/>
        <v>1.0894852182343845E-2</v>
      </c>
      <c r="I10" s="60">
        <f t="shared" si="2"/>
        <v>7.2050650317996914E-3</v>
      </c>
      <c r="J10" s="60">
        <f t="shared" si="3"/>
        <v>1.120464253818868E-2</v>
      </c>
      <c r="K10" s="60">
        <f t="shared" si="4"/>
        <v>9.7664710358623969E-3</v>
      </c>
    </row>
    <row r="11" spans="1:13" x14ac:dyDescent="0.2">
      <c r="A11" s="8" t="s">
        <v>2</v>
      </c>
      <c r="B11" s="9" t="s">
        <v>7</v>
      </c>
      <c r="C11" s="6">
        <v>198.8</v>
      </c>
      <c r="D11" s="6">
        <v>0</v>
      </c>
      <c r="E11" s="6">
        <v>1493.8</v>
      </c>
      <c r="F11" s="6">
        <v>1465.9</v>
      </c>
      <c r="G11" s="7">
        <f t="shared" si="0"/>
        <v>3158.5</v>
      </c>
      <c r="H11" s="60">
        <f t="shared" si="1"/>
        <v>1.6558842613531775E-2</v>
      </c>
      <c r="I11" s="60">
        <f t="shared" si="2"/>
        <v>7.1324891613667188E-2</v>
      </c>
      <c r="J11" s="60">
        <f t="shared" si="3"/>
        <v>5.2576458056116479E-2</v>
      </c>
      <c r="K11" s="60">
        <f t="shared" si="4"/>
        <v>5.1922906525452589E-2</v>
      </c>
    </row>
    <row r="12" spans="1:13" x14ac:dyDescent="0.2">
      <c r="A12" s="8" t="s">
        <v>2</v>
      </c>
      <c r="B12" s="9" t="s">
        <v>8</v>
      </c>
      <c r="C12" s="6">
        <v>68.5</v>
      </c>
      <c r="D12" s="6">
        <v>0</v>
      </c>
      <c r="E12" s="6">
        <v>0</v>
      </c>
      <c r="F12" s="6">
        <v>112.3</v>
      </c>
      <c r="G12" s="7">
        <f t="shared" si="0"/>
        <v>180.8</v>
      </c>
      <c r="H12" s="60">
        <f t="shared" si="1"/>
        <v>5.7056374196525483E-3</v>
      </c>
      <c r="I12" s="60">
        <f t="shared" si="2"/>
        <v>0</v>
      </c>
      <c r="J12" s="60">
        <f t="shared" si="3"/>
        <v>4.0277892350787095E-3</v>
      </c>
      <c r="K12" s="60">
        <f t="shared" si="4"/>
        <v>2.9721898052245776E-3</v>
      </c>
    </row>
    <row r="13" spans="1:13" x14ac:dyDescent="0.2">
      <c r="A13" s="8" t="s">
        <v>2</v>
      </c>
      <c r="B13" s="9" t="s">
        <v>9</v>
      </c>
      <c r="C13" s="6">
        <v>25.6</v>
      </c>
      <c r="D13" s="6">
        <v>0</v>
      </c>
      <c r="E13" s="6">
        <v>538</v>
      </c>
      <c r="F13" s="6">
        <v>143</v>
      </c>
      <c r="G13" s="44">
        <f t="shared" si="0"/>
        <v>706.6</v>
      </c>
      <c r="H13" s="60">
        <f t="shared" si="1"/>
        <v>2.1323258093883979E-3</v>
      </c>
      <c r="I13" s="60">
        <f t="shared" si="2"/>
        <v>2.5688038350617851E-2</v>
      </c>
      <c r="J13" s="60">
        <f t="shared" si="3"/>
        <v>5.1288856688891842E-3</v>
      </c>
      <c r="K13" s="60">
        <f t="shared" si="4"/>
        <v>1.1615870112675257E-2</v>
      </c>
    </row>
    <row r="14" spans="1:13" ht="13.5" thickBot="1" x14ac:dyDescent="0.25">
      <c r="A14" s="14" t="s">
        <v>10</v>
      </c>
      <c r="B14" s="34" t="s">
        <v>11</v>
      </c>
      <c r="C14" s="31">
        <f>SUM(C6:C13)</f>
        <v>1052.1999999999998</v>
      </c>
      <c r="D14" s="10">
        <f>SUM(D6:D13)</f>
        <v>0</v>
      </c>
      <c r="E14" s="31">
        <f>SUM(E6:E13)</f>
        <v>2411.1</v>
      </c>
      <c r="F14" s="31">
        <f>SUM(F6:F13)</f>
        <v>3071.8</v>
      </c>
      <c r="G14" s="46">
        <f t="shared" si="0"/>
        <v>6535.1</v>
      </c>
      <c r="H14" s="60">
        <f t="shared" si="1"/>
        <v>8.7641922524940297E-2</v>
      </c>
      <c r="I14" s="60">
        <f t="shared" si="2"/>
        <v>0.11512347447430242</v>
      </c>
      <c r="J14" s="60">
        <f t="shared" si="3"/>
        <v>0.11017420278107551</v>
      </c>
      <c r="K14" s="60">
        <f t="shared" si="4"/>
        <v>0.10743118139448637</v>
      </c>
    </row>
    <row r="15" spans="1:13" ht="13.5" thickTop="1" x14ac:dyDescent="0.2">
      <c r="A15" s="54"/>
      <c r="B15" s="55" t="s">
        <v>12</v>
      </c>
      <c r="C15" s="48">
        <v>58.4</v>
      </c>
      <c r="D15" s="6">
        <v>0</v>
      </c>
      <c r="E15" s="48">
        <v>0</v>
      </c>
      <c r="F15" s="49">
        <v>39.299999999999997</v>
      </c>
      <c r="G15" s="45">
        <f t="shared" si="0"/>
        <v>97.699999999999989</v>
      </c>
      <c r="H15" s="60">
        <f t="shared" si="1"/>
        <v>4.8643682526672821E-3</v>
      </c>
      <c r="I15" s="60">
        <f t="shared" si="2"/>
        <v>0</v>
      </c>
      <c r="J15" s="60">
        <f t="shared" si="3"/>
        <v>1.4095469006108038E-3</v>
      </c>
      <c r="K15" s="60">
        <f t="shared" si="4"/>
        <v>1.6061003538188118E-3</v>
      </c>
    </row>
    <row r="16" spans="1:13" ht="13.5" thickBot="1" x14ac:dyDescent="0.25">
      <c r="A16" s="36" t="s">
        <v>13</v>
      </c>
      <c r="B16" s="34" t="s">
        <v>11</v>
      </c>
      <c r="C16" s="32">
        <f>C15</f>
        <v>58.4</v>
      </c>
      <c r="D16" s="10">
        <f>D15</f>
        <v>0</v>
      </c>
      <c r="E16" s="31">
        <f>E15</f>
        <v>0</v>
      </c>
      <c r="F16" s="31">
        <f>F15</f>
        <v>39.299999999999997</v>
      </c>
      <c r="G16" s="46">
        <f t="shared" si="0"/>
        <v>97.699999999999989</v>
      </c>
      <c r="H16" s="60">
        <f t="shared" si="1"/>
        <v>4.8643682526672821E-3</v>
      </c>
      <c r="I16" s="60">
        <f t="shared" si="2"/>
        <v>0</v>
      </c>
      <c r="J16" s="60">
        <f t="shared" si="3"/>
        <v>1.4095469006108038E-3</v>
      </c>
      <c r="K16" s="60">
        <f t="shared" si="4"/>
        <v>1.6061003538188118E-3</v>
      </c>
    </row>
    <row r="17" spans="1:11" ht="13.5" thickTop="1" x14ac:dyDescent="0.2">
      <c r="A17" s="1"/>
      <c r="B17" s="55" t="s">
        <v>14</v>
      </c>
      <c r="C17" s="50">
        <v>120.7</v>
      </c>
      <c r="D17" s="6">
        <v>0</v>
      </c>
      <c r="E17" s="48">
        <v>4.3</v>
      </c>
      <c r="F17" s="48">
        <v>405.5</v>
      </c>
      <c r="G17" s="47">
        <f t="shared" si="0"/>
        <v>530.5</v>
      </c>
      <c r="H17" s="60">
        <f t="shared" si="1"/>
        <v>1.0053583015358579E-2</v>
      </c>
      <c r="I17" s="60">
        <f t="shared" si="2"/>
        <v>2.0531331767222445E-4</v>
      </c>
      <c r="J17" s="60">
        <f t="shared" si="3"/>
        <v>1.4543798172968981E-2</v>
      </c>
      <c r="K17" s="60">
        <f t="shared" si="4"/>
        <v>8.7209440911041949E-3</v>
      </c>
    </row>
    <row r="18" spans="1:11" x14ac:dyDescent="0.2">
      <c r="A18" s="8" t="s">
        <v>2</v>
      </c>
      <c r="B18" s="9" t="s">
        <v>15</v>
      </c>
      <c r="C18" s="6">
        <v>6</v>
      </c>
      <c r="D18" s="6">
        <v>0</v>
      </c>
      <c r="E18" s="6">
        <v>0</v>
      </c>
      <c r="F18" s="6">
        <v>106.8</v>
      </c>
      <c r="G18" s="7">
        <f t="shared" si="0"/>
        <v>112.8</v>
      </c>
      <c r="H18" s="60">
        <f t="shared" si="1"/>
        <v>4.9976386157540571E-4</v>
      </c>
      <c r="I18" s="60">
        <f t="shared" si="2"/>
        <v>0</v>
      </c>
      <c r="J18" s="60">
        <f t="shared" si="3"/>
        <v>3.8305244016598942E-3</v>
      </c>
      <c r="K18" s="60">
        <f t="shared" si="4"/>
        <v>1.8543308076843601E-3</v>
      </c>
    </row>
    <row r="19" spans="1:11" x14ac:dyDescent="0.2">
      <c r="A19" s="8" t="s">
        <v>2</v>
      </c>
      <c r="B19" s="9" t="s">
        <v>16</v>
      </c>
      <c r="C19" s="6">
        <v>86.2</v>
      </c>
      <c r="D19" s="6">
        <v>0</v>
      </c>
      <c r="E19" s="6">
        <v>218.4</v>
      </c>
      <c r="F19" s="6">
        <v>149.19999999999999</v>
      </c>
      <c r="G19" s="7">
        <f t="shared" si="0"/>
        <v>453.8</v>
      </c>
      <c r="H19" s="60">
        <f t="shared" si="1"/>
        <v>7.1799408112999952E-3</v>
      </c>
      <c r="I19" s="60">
        <f t="shared" si="2"/>
        <v>1.0428006646421819E-2</v>
      </c>
      <c r="J19" s="60">
        <f t="shared" si="3"/>
        <v>5.3512569356522115E-3</v>
      </c>
      <c r="K19" s="60">
        <f t="shared" si="4"/>
        <v>7.4600648982904496E-3</v>
      </c>
    </row>
    <row r="20" spans="1:11" x14ac:dyDescent="0.2">
      <c r="A20" s="12" t="s">
        <v>2</v>
      </c>
      <c r="B20" s="9" t="s">
        <v>17</v>
      </c>
      <c r="C20" s="6">
        <v>0</v>
      </c>
      <c r="D20" s="6">
        <v>0</v>
      </c>
      <c r="E20" s="6">
        <v>0</v>
      </c>
      <c r="F20" s="6">
        <v>59.6</v>
      </c>
      <c r="G20" s="7">
        <f t="shared" si="0"/>
        <v>59.6</v>
      </c>
      <c r="H20" s="60">
        <f t="shared" si="1"/>
        <v>0</v>
      </c>
      <c r="I20" s="60">
        <f t="shared" si="2"/>
        <v>0</v>
      </c>
      <c r="J20" s="60">
        <f t="shared" si="3"/>
        <v>2.1376334675929751E-3</v>
      </c>
      <c r="K20" s="60">
        <f t="shared" si="4"/>
        <v>9.7977053313819031E-4</v>
      </c>
    </row>
    <row r="21" spans="1:11" ht="13.5" thickBot="1" x14ac:dyDescent="0.25">
      <c r="A21" s="36" t="s">
        <v>18</v>
      </c>
      <c r="B21" s="34" t="s">
        <v>19</v>
      </c>
      <c r="C21" s="51">
        <f>SUM(C17:C20)</f>
        <v>212.9</v>
      </c>
      <c r="D21" s="11">
        <f>SUM(D17:D20)</f>
        <v>0</v>
      </c>
      <c r="E21" s="52">
        <f>SUM(E17:E20)</f>
        <v>222.70000000000002</v>
      </c>
      <c r="F21" s="52">
        <f>SUM(F17:F20)</f>
        <v>721.1</v>
      </c>
      <c r="G21" s="43">
        <f t="shared" si="0"/>
        <v>1156.7</v>
      </c>
      <c r="H21" s="60">
        <f t="shared" si="1"/>
        <v>1.7733287688233981E-2</v>
      </c>
      <c r="I21" s="60">
        <f t="shared" si="2"/>
        <v>1.0633319964094045E-2</v>
      </c>
      <c r="J21" s="60">
        <f t="shared" si="3"/>
        <v>2.5863212977874063E-2</v>
      </c>
      <c r="K21" s="60">
        <f t="shared" si="4"/>
        <v>1.9015110330217196E-2</v>
      </c>
    </row>
    <row r="22" spans="1:11" ht="13.5" thickTop="1" x14ac:dyDescent="0.2">
      <c r="A22" s="1"/>
      <c r="B22" s="55" t="s">
        <v>20</v>
      </c>
      <c r="C22" s="50">
        <v>489.1</v>
      </c>
      <c r="D22" s="6">
        <v>0</v>
      </c>
      <c r="E22" s="48">
        <v>0</v>
      </c>
      <c r="F22" s="48">
        <v>783.3</v>
      </c>
      <c r="G22" s="53">
        <f t="shared" si="0"/>
        <v>1272.4000000000001</v>
      </c>
      <c r="H22" s="60">
        <f t="shared" si="1"/>
        <v>4.0739084116088488E-2</v>
      </c>
      <c r="I22" s="60">
        <f t="shared" si="2"/>
        <v>0</v>
      </c>
      <c r="J22" s="60">
        <f t="shared" si="3"/>
        <v>2.8094098912174112E-2</v>
      </c>
      <c r="K22" s="60">
        <f t="shared" si="4"/>
        <v>2.0917114536326064E-2</v>
      </c>
    </row>
    <row r="23" spans="1:11" x14ac:dyDescent="0.2">
      <c r="A23" s="8" t="s">
        <v>2</v>
      </c>
      <c r="B23" s="9" t="s">
        <v>21</v>
      </c>
      <c r="C23" s="6">
        <v>358.4</v>
      </c>
      <c r="D23" s="6">
        <v>0</v>
      </c>
      <c r="E23" s="6">
        <v>36.5</v>
      </c>
      <c r="F23" s="6">
        <v>992.7</v>
      </c>
      <c r="G23" s="7">
        <f t="shared" si="0"/>
        <v>1387.6</v>
      </c>
      <c r="H23" s="60">
        <f t="shared" si="1"/>
        <v>2.9852561331437565E-2</v>
      </c>
      <c r="I23" s="60">
        <f t="shared" si="2"/>
        <v>1.7427758360549286E-3</v>
      </c>
      <c r="J23" s="60">
        <f t="shared" si="3"/>
        <v>3.5604509115428624E-2</v>
      </c>
      <c r="K23" s="60">
        <f t="shared" si="4"/>
        <v>2.281089919098243E-2</v>
      </c>
    </row>
    <row r="24" spans="1:11" x14ac:dyDescent="0.2">
      <c r="A24" s="8" t="s">
        <v>2</v>
      </c>
      <c r="B24" s="9" t="s">
        <v>22</v>
      </c>
      <c r="C24" s="6">
        <v>48.7</v>
      </c>
      <c r="D24" s="6">
        <v>0</v>
      </c>
      <c r="E24" s="6">
        <v>9.3000000000000007</v>
      </c>
      <c r="F24" s="6">
        <v>547.70000000000005</v>
      </c>
      <c r="G24" s="7">
        <f t="shared" si="0"/>
        <v>605.70000000000005</v>
      </c>
      <c r="H24" s="60">
        <f t="shared" si="1"/>
        <v>4.0564166764537101E-3</v>
      </c>
      <c r="I24" s="60">
        <f t="shared" si="2"/>
        <v>4.4404973357015993E-4</v>
      </c>
      <c r="J24" s="60">
        <f t="shared" si="3"/>
        <v>1.9643990775179067E-2</v>
      </c>
      <c r="K24" s="60">
        <f t="shared" si="4"/>
        <v>9.957164629560436E-3</v>
      </c>
    </row>
    <row r="25" spans="1:11" x14ac:dyDescent="0.2">
      <c r="A25" s="8" t="s">
        <v>2</v>
      </c>
      <c r="B25" s="9" t="s">
        <v>23</v>
      </c>
      <c r="C25" s="6">
        <v>201.4</v>
      </c>
      <c r="D25" s="6">
        <v>0</v>
      </c>
      <c r="E25" s="6">
        <v>0</v>
      </c>
      <c r="F25" s="6">
        <v>347.3</v>
      </c>
      <c r="G25" s="7">
        <f t="shared" si="0"/>
        <v>548.70000000000005</v>
      </c>
      <c r="H25" s="60">
        <f t="shared" si="1"/>
        <v>1.6775406953547786E-2</v>
      </c>
      <c r="I25" s="60">
        <f t="shared" si="2"/>
        <v>0</v>
      </c>
      <c r="J25" s="60">
        <f t="shared" si="3"/>
        <v>1.2456377572064433E-2</v>
      </c>
      <c r="K25" s="60">
        <f t="shared" si="4"/>
        <v>9.0201357639752532E-3</v>
      </c>
    </row>
    <row r="26" spans="1:11" x14ac:dyDescent="0.2">
      <c r="A26" s="8" t="s">
        <v>2</v>
      </c>
      <c r="B26" s="9" t="s">
        <v>24</v>
      </c>
      <c r="C26" s="6">
        <v>100.7</v>
      </c>
      <c r="D26" s="6">
        <v>0</v>
      </c>
      <c r="E26" s="6">
        <v>0</v>
      </c>
      <c r="F26" s="6">
        <v>262.3</v>
      </c>
      <c r="G26" s="7">
        <f t="shared" si="0"/>
        <v>363</v>
      </c>
      <c r="H26" s="60">
        <f t="shared" si="1"/>
        <v>8.3877034767738928E-3</v>
      </c>
      <c r="I26" s="60">
        <f t="shared" si="2"/>
        <v>0</v>
      </c>
      <c r="J26" s="60">
        <f t="shared" si="3"/>
        <v>9.4077392374100222E-3</v>
      </c>
      <c r="K26" s="60">
        <f t="shared" si="4"/>
        <v>5.9673943545161595E-3</v>
      </c>
    </row>
    <row r="27" spans="1:11" x14ac:dyDescent="0.2">
      <c r="A27" s="8" t="s">
        <v>2</v>
      </c>
      <c r="B27" s="9" t="s">
        <v>25</v>
      </c>
      <c r="C27" s="6">
        <v>45.7</v>
      </c>
      <c r="D27" s="6">
        <v>0</v>
      </c>
      <c r="E27" s="6">
        <v>1075</v>
      </c>
      <c r="F27" s="6">
        <v>175.9</v>
      </c>
      <c r="G27" s="7">
        <f t="shared" si="0"/>
        <v>1296.6000000000001</v>
      </c>
      <c r="H27" s="60">
        <f t="shared" si="1"/>
        <v>3.8065347456660071E-3</v>
      </c>
      <c r="I27" s="60">
        <f t="shared" si="2"/>
        <v>5.1328329418056116E-2</v>
      </c>
      <c r="J27" s="60">
        <f t="shared" si="3"/>
        <v>6.308888036067186E-3</v>
      </c>
      <c r="K27" s="60">
        <f t="shared" si="4"/>
        <v>2.1314940826627143E-2</v>
      </c>
    </row>
    <row r="28" spans="1:11" x14ac:dyDescent="0.2">
      <c r="A28" s="8" t="s">
        <v>2</v>
      </c>
      <c r="B28" s="9" t="s">
        <v>26</v>
      </c>
      <c r="C28" s="6">
        <v>262</v>
      </c>
      <c r="D28" s="6">
        <v>0</v>
      </c>
      <c r="E28" s="6">
        <v>761.6</v>
      </c>
      <c r="F28" s="6">
        <v>2167.5</v>
      </c>
      <c r="G28" s="7">
        <f t="shared" si="0"/>
        <v>3191.1</v>
      </c>
      <c r="H28" s="60">
        <f t="shared" si="1"/>
        <v>2.1823021955459383E-2</v>
      </c>
      <c r="I28" s="60">
        <f t="shared" si="2"/>
        <v>3.6364330869573525E-2</v>
      </c>
      <c r="J28" s="60">
        <f t="shared" si="3"/>
        <v>7.7740277533687466E-2</v>
      </c>
      <c r="K28" s="60">
        <f t="shared" si="4"/>
        <v>5.2458821280155693E-2</v>
      </c>
    </row>
    <row r="29" spans="1:11" x14ac:dyDescent="0.2">
      <c r="A29" s="8" t="s">
        <v>2</v>
      </c>
      <c r="B29" s="9" t="s">
        <v>27</v>
      </c>
      <c r="C29" s="6">
        <v>216</v>
      </c>
      <c r="D29" s="6">
        <v>0</v>
      </c>
      <c r="E29" s="6">
        <v>1591.3</v>
      </c>
      <c r="F29" s="6">
        <v>200.6</v>
      </c>
      <c r="G29" s="7">
        <f t="shared" si="0"/>
        <v>2007.8999999999999</v>
      </c>
      <c r="H29" s="60">
        <f t="shared" si="1"/>
        <v>1.7991499016714606E-2</v>
      </c>
      <c r="I29" s="60">
        <f t="shared" si="2"/>
        <v>7.5980251723676923E-2</v>
      </c>
      <c r="J29" s="60">
        <f t="shared" si="3"/>
        <v>7.1947864697844083E-3</v>
      </c>
      <c r="K29" s="60">
        <f t="shared" si="4"/>
        <v>3.3008074722955909E-2</v>
      </c>
    </row>
    <row r="30" spans="1:11" x14ac:dyDescent="0.2">
      <c r="A30" s="8"/>
      <c r="B30" s="9" t="s">
        <v>133</v>
      </c>
      <c r="C30" s="6">
        <v>115.2</v>
      </c>
      <c r="D30" s="6">
        <v>0</v>
      </c>
      <c r="E30" s="6">
        <v>22.4</v>
      </c>
      <c r="F30" s="6">
        <v>752.3</v>
      </c>
      <c r="G30" s="7">
        <f t="shared" si="0"/>
        <v>889.9</v>
      </c>
      <c r="H30" s="60">
        <f t="shared" si="1"/>
        <v>9.5954661422477903E-3</v>
      </c>
      <c r="I30" s="60">
        <f t="shared" si="2"/>
        <v>1.0695391432227507E-3</v>
      </c>
      <c r="J30" s="60">
        <f t="shared" si="3"/>
        <v>2.6982242578358975E-2</v>
      </c>
      <c r="K30" s="60">
        <f t="shared" si="4"/>
        <v>1.4629157675162341E-2</v>
      </c>
    </row>
    <row r="31" spans="1:11" x14ac:dyDescent="0.2">
      <c r="A31" s="8" t="s">
        <v>2</v>
      </c>
      <c r="B31" s="9" t="s">
        <v>28</v>
      </c>
      <c r="C31" s="6">
        <v>231.5</v>
      </c>
      <c r="D31" s="6">
        <v>0</v>
      </c>
      <c r="E31" s="6">
        <v>1332.5</v>
      </c>
      <c r="F31" s="6">
        <v>464.1</v>
      </c>
      <c r="G31" s="7">
        <f t="shared" si="0"/>
        <v>2028.1</v>
      </c>
      <c r="H31" s="60">
        <f t="shared" si="1"/>
        <v>1.9282555659117736E-2</v>
      </c>
      <c r="I31" s="60">
        <f t="shared" si="2"/>
        <v>6.3623254836799786E-2</v>
      </c>
      <c r="J31" s="60">
        <f t="shared" si="3"/>
        <v>1.6645565307213082E-2</v>
      </c>
      <c r="K31" s="60">
        <f t="shared" si="4"/>
        <v>3.3340144601636978E-2</v>
      </c>
    </row>
    <row r="32" spans="1:11" s="41" customFormat="1" x14ac:dyDescent="0.2">
      <c r="A32" s="37" t="s">
        <v>2</v>
      </c>
      <c r="B32" s="38" t="s">
        <v>29</v>
      </c>
      <c r="C32" s="39">
        <v>22.7</v>
      </c>
      <c r="D32" s="39">
        <v>0</v>
      </c>
      <c r="E32" s="39">
        <v>0</v>
      </c>
      <c r="F32" s="39">
        <v>51.6</v>
      </c>
      <c r="G32" s="40">
        <f t="shared" si="0"/>
        <v>74.3</v>
      </c>
      <c r="H32" s="60">
        <f t="shared" si="1"/>
        <v>1.8907732762936181E-3</v>
      </c>
      <c r="I32" s="60">
        <f t="shared" si="2"/>
        <v>0</v>
      </c>
      <c r="J32" s="60">
        <f t="shared" si="3"/>
        <v>1.8507028008019715E-3</v>
      </c>
      <c r="K32" s="60">
        <f t="shared" si="4"/>
        <v>1.2214253458417374E-3</v>
      </c>
    </row>
    <row r="33" spans="1:11" x14ac:dyDescent="0.2">
      <c r="A33" s="8" t="s">
        <v>2</v>
      </c>
      <c r="B33" s="9" t="s">
        <v>30</v>
      </c>
      <c r="C33" s="6">
        <v>194.2</v>
      </c>
      <c r="D33" s="6">
        <v>0</v>
      </c>
      <c r="E33" s="6">
        <v>89.6</v>
      </c>
      <c r="F33" s="6">
        <v>689.4</v>
      </c>
      <c r="G33" s="7">
        <f t="shared" si="0"/>
        <v>973.19999999999993</v>
      </c>
      <c r="H33" s="60">
        <f t="shared" si="1"/>
        <v>1.6175690319657297E-2</v>
      </c>
      <c r="I33" s="60">
        <f t="shared" si="2"/>
        <v>4.2781565728910028E-3</v>
      </c>
      <c r="J33" s="60">
        <f t="shared" si="3"/>
        <v>2.4726250210714711E-2</v>
      </c>
      <c r="K33" s="60">
        <f t="shared" si="4"/>
        <v>1.5998534947149107E-2</v>
      </c>
    </row>
    <row r="34" spans="1:11" ht="13.5" thickBot="1" x14ac:dyDescent="0.25">
      <c r="A34" s="36" t="s">
        <v>31</v>
      </c>
      <c r="B34" s="56" t="s">
        <v>19</v>
      </c>
      <c r="C34" s="31">
        <f>SUM(C22:C33)</f>
        <v>2285.6</v>
      </c>
      <c r="D34" s="10">
        <f>SUM(D22:D33)</f>
        <v>0</v>
      </c>
      <c r="E34" s="31">
        <f>SUM(E22:E33)</f>
        <v>4918.2000000000007</v>
      </c>
      <c r="F34" s="32">
        <f>SUM(F22:F33)</f>
        <v>7434.7000000000016</v>
      </c>
      <c r="G34" s="43">
        <f t="shared" si="0"/>
        <v>14638.500000000004</v>
      </c>
      <c r="H34" s="60">
        <f t="shared" si="1"/>
        <v>0.19037671366945788</v>
      </c>
      <c r="I34" s="60">
        <f t="shared" si="2"/>
        <v>0.23483068813384522</v>
      </c>
      <c r="J34" s="60">
        <f t="shared" si="3"/>
        <v>0.26665542854888413</v>
      </c>
      <c r="K34" s="60">
        <f t="shared" si="4"/>
        <v>0.24064380787488932</v>
      </c>
    </row>
    <row r="35" spans="1:11" ht="13.5" thickTop="1" x14ac:dyDescent="0.2">
      <c r="A35" s="1"/>
      <c r="B35" s="13" t="s">
        <v>32</v>
      </c>
      <c r="C35" s="48">
        <v>29</v>
      </c>
      <c r="D35" s="6">
        <v>0</v>
      </c>
      <c r="E35" s="48">
        <v>0</v>
      </c>
      <c r="F35" s="50">
        <v>295.89999999999998</v>
      </c>
      <c r="G35" s="53">
        <f t="shared" si="0"/>
        <v>324.89999999999998</v>
      </c>
      <c r="H35" s="60">
        <f t="shared" si="1"/>
        <v>2.4155253309477943E-3</v>
      </c>
      <c r="I35" s="60">
        <f t="shared" si="2"/>
        <v>0</v>
      </c>
      <c r="J35" s="60">
        <f t="shared" si="3"/>
        <v>1.0612848037932235E-2</v>
      </c>
      <c r="K35" s="60">
        <f t="shared" si="4"/>
        <v>5.3410645338355369E-3</v>
      </c>
    </row>
    <row r="36" spans="1:11" x14ac:dyDescent="0.2">
      <c r="A36" s="8" t="s">
        <v>2</v>
      </c>
      <c r="B36" s="9" t="s">
        <v>33</v>
      </c>
      <c r="C36" s="6">
        <v>253.6</v>
      </c>
      <c r="D36" s="6">
        <v>0</v>
      </c>
      <c r="E36" s="6">
        <v>21.3</v>
      </c>
      <c r="F36" s="6">
        <v>345.9</v>
      </c>
      <c r="G36" s="7">
        <f t="shared" si="0"/>
        <v>620.79999999999995</v>
      </c>
      <c r="H36" s="60">
        <f t="shared" si="1"/>
        <v>2.1123352549253814E-2</v>
      </c>
      <c r="I36" s="60">
        <f t="shared" si="2"/>
        <v>1.017017131725205E-3</v>
      </c>
      <c r="J36" s="60">
        <f t="shared" si="3"/>
        <v>1.2406164705376007E-2</v>
      </c>
      <c r="K36" s="60">
        <f t="shared" si="4"/>
        <v>1.0205395083425982E-2</v>
      </c>
    </row>
    <row r="37" spans="1:11" ht="13.5" thickBot="1" x14ac:dyDescent="0.25">
      <c r="A37" s="36" t="s">
        <v>34</v>
      </c>
      <c r="B37" s="34" t="s">
        <v>19</v>
      </c>
      <c r="C37" s="32">
        <f>SUM(C35:C36)</f>
        <v>282.60000000000002</v>
      </c>
      <c r="D37" s="10">
        <f>SUM(D35:D36)</f>
        <v>0</v>
      </c>
      <c r="E37" s="32">
        <f>SUM(E35:E36)</f>
        <v>21.3</v>
      </c>
      <c r="F37" s="32">
        <f>SUM(F35:F36)</f>
        <v>641.79999999999995</v>
      </c>
      <c r="G37" s="29">
        <f t="shared" si="0"/>
        <v>945.7</v>
      </c>
      <c r="H37" s="60">
        <f t="shared" si="1"/>
        <v>2.3538877880201609E-2</v>
      </c>
      <c r="I37" s="60">
        <f t="shared" si="2"/>
        <v>1.017017131725205E-3</v>
      </c>
      <c r="J37" s="60">
        <f t="shared" si="3"/>
        <v>2.301901274330824E-2</v>
      </c>
      <c r="K37" s="60">
        <f t="shared" si="4"/>
        <v>1.5546459617261522E-2</v>
      </c>
    </row>
    <row r="38" spans="1:11" ht="13.5" thickTop="1" x14ac:dyDescent="0.2">
      <c r="A38" s="1"/>
      <c r="B38" s="55" t="s">
        <v>35</v>
      </c>
      <c r="C38" s="50">
        <v>13.8</v>
      </c>
      <c r="D38" s="6">
        <v>0</v>
      </c>
      <c r="E38" s="50">
        <v>14.2</v>
      </c>
      <c r="F38" s="50">
        <v>123.9</v>
      </c>
      <c r="G38" s="47">
        <f t="shared" si="0"/>
        <v>151.9</v>
      </c>
      <c r="H38" s="60">
        <f t="shared" si="1"/>
        <v>1.1494568816234332E-3</v>
      </c>
      <c r="I38" s="60">
        <f t="shared" si="2"/>
        <v>6.7801142115013653E-4</v>
      </c>
      <c r="J38" s="60">
        <f t="shared" si="3"/>
        <v>4.4438387019256646E-3</v>
      </c>
      <c r="K38" s="60">
        <f t="shared" si="4"/>
        <v>2.4970997312699851E-3</v>
      </c>
    </row>
    <row r="39" spans="1:11" x14ac:dyDescent="0.2">
      <c r="A39" s="8" t="s">
        <v>2</v>
      </c>
      <c r="B39" s="9" t="s">
        <v>36</v>
      </c>
      <c r="C39" s="6">
        <v>79.8</v>
      </c>
      <c r="D39" s="6">
        <v>0</v>
      </c>
      <c r="E39" s="6">
        <v>9.5</v>
      </c>
      <c r="F39" s="6">
        <v>161.9</v>
      </c>
      <c r="G39" s="7">
        <f t="shared" si="0"/>
        <v>251.2</v>
      </c>
      <c r="H39" s="60">
        <f t="shared" si="1"/>
        <v>6.6468593589528958E-3</v>
      </c>
      <c r="I39" s="60">
        <f t="shared" si="2"/>
        <v>4.5359919020607729E-4</v>
      </c>
      <c r="J39" s="60">
        <f t="shared" si="3"/>
        <v>5.8067593691829298E-3</v>
      </c>
      <c r="K39" s="60">
        <f t="shared" si="4"/>
        <v>4.1295026497368019E-3</v>
      </c>
    </row>
    <row r="40" spans="1:11" x14ac:dyDescent="0.2">
      <c r="A40" s="8" t="s">
        <v>2</v>
      </c>
      <c r="B40" s="9" t="s">
        <v>37</v>
      </c>
      <c r="C40" s="6">
        <v>10</v>
      </c>
      <c r="D40" s="6">
        <v>0</v>
      </c>
      <c r="E40" s="6">
        <v>18.3</v>
      </c>
      <c r="F40" s="6">
        <v>145.1</v>
      </c>
      <c r="G40" s="7">
        <f t="shared" si="0"/>
        <v>173.4</v>
      </c>
      <c r="H40" s="60">
        <f t="shared" si="1"/>
        <v>8.3293976929234282E-4</v>
      </c>
      <c r="I40" s="60">
        <f t="shared" si="2"/>
        <v>8.7377528218644373E-4</v>
      </c>
      <c r="J40" s="60">
        <f t="shared" si="3"/>
        <v>5.2042049689218226E-3</v>
      </c>
      <c r="K40" s="60">
        <f t="shared" si="4"/>
        <v>2.8505404437275538E-3</v>
      </c>
    </row>
    <row r="41" spans="1:11" x14ac:dyDescent="0.2">
      <c r="A41" s="8" t="s">
        <v>2</v>
      </c>
      <c r="B41" s="9" t="s">
        <v>38</v>
      </c>
      <c r="C41" s="6">
        <v>425.2</v>
      </c>
      <c r="D41" s="6">
        <v>0</v>
      </c>
      <c r="E41" s="6">
        <v>373.6</v>
      </c>
      <c r="F41" s="6">
        <v>320.39999999999998</v>
      </c>
      <c r="G41" s="7">
        <f t="shared" si="0"/>
        <v>1119.1999999999998</v>
      </c>
      <c r="H41" s="60">
        <f t="shared" si="1"/>
        <v>3.5416598990310418E-2</v>
      </c>
      <c r="I41" s="60">
        <f t="shared" si="2"/>
        <v>1.7838384995893734E-2</v>
      </c>
      <c r="J41" s="60">
        <f t="shared" si="3"/>
        <v>1.1491573204979682E-2</v>
      </c>
      <c r="K41" s="60">
        <f t="shared" si="4"/>
        <v>1.839864397127957E-2</v>
      </c>
    </row>
    <row r="42" spans="1:11" ht="13.5" thickBot="1" x14ac:dyDescent="0.25">
      <c r="A42" s="14" t="s">
        <v>39</v>
      </c>
      <c r="B42" s="56" t="s">
        <v>19</v>
      </c>
      <c r="C42" s="32">
        <f>SUM(C38:C41)</f>
        <v>528.79999999999995</v>
      </c>
      <c r="D42" s="10">
        <f>SUM(D38:D41)</f>
        <v>0</v>
      </c>
      <c r="E42" s="31">
        <f>SUM(E38:E41)</f>
        <v>415.6</v>
      </c>
      <c r="F42" s="32">
        <f>SUM(F38:F41)</f>
        <v>751.3</v>
      </c>
      <c r="G42" s="29">
        <f t="shared" si="0"/>
        <v>1695.6999999999998</v>
      </c>
      <c r="H42" s="60">
        <f t="shared" si="1"/>
        <v>4.4045855000179088E-2</v>
      </c>
      <c r="I42" s="60">
        <f t="shared" si="2"/>
        <v>1.9843770889436393E-2</v>
      </c>
      <c r="J42" s="60">
        <f t="shared" si="3"/>
        <v>2.69463762450101E-2</v>
      </c>
      <c r="K42" s="60">
        <f t="shared" si="4"/>
        <v>2.7875786796013914E-2</v>
      </c>
    </row>
    <row r="43" spans="1:11" ht="13.5" thickTop="1" x14ac:dyDescent="0.2">
      <c r="A43" s="54"/>
      <c r="B43" s="13" t="s">
        <v>40</v>
      </c>
      <c r="C43" s="50">
        <v>50.5</v>
      </c>
      <c r="D43" s="6">
        <v>0</v>
      </c>
      <c r="E43" s="48">
        <v>0</v>
      </c>
      <c r="F43" s="50">
        <v>114.1</v>
      </c>
      <c r="G43" s="47">
        <f t="shared" si="0"/>
        <v>164.6</v>
      </c>
      <c r="H43" s="60">
        <f t="shared" si="1"/>
        <v>4.2063458349263314E-3</v>
      </c>
      <c r="I43" s="60">
        <f t="shared" si="2"/>
        <v>0</v>
      </c>
      <c r="J43" s="60">
        <f t="shared" si="3"/>
        <v>4.0923486351066851E-3</v>
      </c>
      <c r="K43" s="60">
        <f t="shared" si="4"/>
        <v>2.7058763381635257E-3</v>
      </c>
    </row>
    <row r="44" spans="1:11" x14ac:dyDescent="0.2">
      <c r="A44" s="8" t="s">
        <v>2</v>
      </c>
      <c r="B44" s="9" t="s">
        <v>41</v>
      </c>
      <c r="C44" s="6">
        <v>115.4</v>
      </c>
      <c r="D44" s="6">
        <v>0</v>
      </c>
      <c r="E44" s="6">
        <v>19.399999999999999</v>
      </c>
      <c r="F44" s="6">
        <v>615.70000000000005</v>
      </c>
      <c r="G44" s="7">
        <f t="shared" si="0"/>
        <v>750.5</v>
      </c>
      <c r="H44" s="60">
        <f t="shared" si="1"/>
        <v>9.6121249376336371E-3</v>
      </c>
      <c r="I44" s="60">
        <f t="shared" si="2"/>
        <v>9.2629729368398942E-4</v>
      </c>
      <c r="J44" s="60">
        <f t="shared" si="3"/>
        <v>2.2082901442902595E-2</v>
      </c>
      <c r="K44" s="60">
        <f t="shared" si="4"/>
        <v>1.2337546730204896E-2</v>
      </c>
    </row>
    <row r="45" spans="1:11" x14ac:dyDescent="0.2">
      <c r="A45" s="8" t="s">
        <v>2</v>
      </c>
      <c r="B45" s="9" t="s">
        <v>42</v>
      </c>
      <c r="C45" s="6">
        <v>114.9</v>
      </c>
      <c r="D45" s="6">
        <v>0</v>
      </c>
      <c r="E45" s="6">
        <v>67.099999999999994</v>
      </c>
      <c r="F45" s="6">
        <v>159</v>
      </c>
      <c r="G45" s="7">
        <f t="shared" si="0"/>
        <v>341</v>
      </c>
      <c r="H45" s="60">
        <f t="shared" si="1"/>
        <v>9.5704779491690203E-3</v>
      </c>
      <c r="I45" s="60">
        <f t="shared" si="2"/>
        <v>3.2038427013502931E-3</v>
      </c>
      <c r="J45" s="60">
        <f t="shared" si="3"/>
        <v>5.702747002471191E-3</v>
      </c>
      <c r="K45" s="60">
        <f t="shared" si="4"/>
        <v>5.6057340906060888E-3</v>
      </c>
    </row>
    <row r="46" spans="1:11" x14ac:dyDescent="0.2">
      <c r="A46" s="8" t="s">
        <v>2</v>
      </c>
      <c r="B46" s="9" t="s">
        <v>43</v>
      </c>
      <c r="C46" s="6">
        <v>157.4</v>
      </c>
      <c r="D46" s="6">
        <v>0</v>
      </c>
      <c r="E46" s="6">
        <v>5.3</v>
      </c>
      <c r="F46" s="6">
        <v>615.79999999999995</v>
      </c>
      <c r="G46" s="7">
        <f t="shared" si="0"/>
        <v>778.5</v>
      </c>
      <c r="H46" s="60">
        <f t="shared" si="1"/>
        <v>1.3110471968661476E-2</v>
      </c>
      <c r="I46" s="60">
        <f t="shared" si="2"/>
        <v>2.5306060085181155E-4</v>
      </c>
      <c r="J46" s="60">
        <f t="shared" si="3"/>
        <v>2.2086488076237479E-2</v>
      </c>
      <c r="K46" s="60">
        <f t="shared" si="4"/>
        <v>1.2797841611544986E-2</v>
      </c>
    </row>
    <row r="47" spans="1:11" x14ac:dyDescent="0.2">
      <c r="A47" s="8" t="s">
        <v>2</v>
      </c>
      <c r="B47" s="9" t="s">
        <v>44</v>
      </c>
      <c r="C47" s="6">
        <v>271.7</v>
      </c>
      <c r="D47" s="6">
        <v>0</v>
      </c>
      <c r="E47" s="6">
        <v>624.1</v>
      </c>
      <c r="F47" s="6">
        <v>503.9</v>
      </c>
      <c r="G47" s="7">
        <f t="shared" si="0"/>
        <v>1399.6999999999998</v>
      </c>
      <c r="H47" s="60">
        <f t="shared" si="1"/>
        <v>2.2630973531672954E-2</v>
      </c>
      <c r="I47" s="60">
        <f t="shared" si="2"/>
        <v>2.9799079432380301E-2</v>
      </c>
      <c r="J47" s="60">
        <f t="shared" si="3"/>
        <v>1.8073045374498321E-2</v>
      </c>
      <c r="K47" s="60">
        <f t="shared" si="4"/>
        <v>2.3009812336132966E-2</v>
      </c>
    </row>
    <row r="48" spans="1:11" x14ac:dyDescent="0.2">
      <c r="A48" s="8" t="s">
        <v>2</v>
      </c>
      <c r="B48" s="9" t="s">
        <v>45</v>
      </c>
      <c r="C48" s="6">
        <v>237</v>
      </c>
      <c r="D48" s="6">
        <v>0</v>
      </c>
      <c r="E48" s="6">
        <v>14.2</v>
      </c>
      <c r="F48" s="6">
        <v>679.1</v>
      </c>
      <c r="G48" s="7">
        <f t="shared" si="0"/>
        <v>930.3</v>
      </c>
      <c r="H48" s="60">
        <f t="shared" si="1"/>
        <v>1.9740672532228526E-2</v>
      </c>
      <c r="I48" s="60">
        <f t="shared" si="2"/>
        <v>6.7801142115013653E-4</v>
      </c>
      <c r="J48" s="60">
        <f t="shared" si="3"/>
        <v>2.4356826977221295E-2</v>
      </c>
      <c r="K48" s="60">
        <f t="shared" si="4"/>
        <v>1.529329743252447E-2</v>
      </c>
    </row>
    <row r="49" spans="1:11" x14ac:dyDescent="0.2">
      <c r="A49" s="8" t="s">
        <v>2</v>
      </c>
      <c r="B49" s="9" t="s">
        <v>46</v>
      </c>
      <c r="C49" s="6">
        <v>294</v>
      </c>
      <c r="D49" s="6">
        <v>0</v>
      </c>
      <c r="E49" s="6">
        <v>0</v>
      </c>
      <c r="F49" s="6">
        <v>739.7</v>
      </c>
      <c r="G49" s="7">
        <f t="shared" si="0"/>
        <v>1033.7</v>
      </c>
      <c r="H49" s="60">
        <f t="shared" si="1"/>
        <v>2.4488429217194879E-2</v>
      </c>
      <c r="I49" s="60">
        <f t="shared" si="2"/>
        <v>0</v>
      </c>
      <c r="J49" s="60">
        <f t="shared" si="3"/>
        <v>2.6530326778163148E-2</v>
      </c>
      <c r="K49" s="60">
        <f t="shared" si="4"/>
        <v>1.6993100672901801E-2</v>
      </c>
    </row>
    <row r="50" spans="1:11" ht="13.5" thickBot="1" x14ac:dyDescent="0.25">
      <c r="A50" s="36" t="s">
        <v>47</v>
      </c>
      <c r="B50" s="56" t="s">
        <v>19</v>
      </c>
      <c r="C50" s="31">
        <f>SUM(C43:C49)</f>
        <v>1240.9000000000001</v>
      </c>
      <c r="D50" s="10">
        <f>SUM(D43:D49)</f>
        <v>0</v>
      </c>
      <c r="E50" s="31">
        <f>SUM(E43:E49)</f>
        <v>730.1</v>
      </c>
      <c r="F50" s="32">
        <f>SUM(F43:F49)</f>
        <v>3427.3</v>
      </c>
      <c r="G50" s="29">
        <f t="shared" si="0"/>
        <v>5398.3</v>
      </c>
      <c r="H50" s="60">
        <f t="shared" si="1"/>
        <v>0.10335949597148683</v>
      </c>
      <c r="I50" s="60">
        <f t="shared" si="2"/>
        <v>3.4860291449416533E-2</v>
      </c>
      <c r="J50" s="60">
        <f t="shared" si="3"/>
        <v>0.12292468428660072</v>
      </c>
      <c r="K50" s="60">
        <f t="shared" si="4"/>
        <v>8.8743209212078747E-2</v>
      </c>
    </row>
    <row r="51" spans="1:11" ht="13.5" thickTop="1" x14ac:dyDescent="0.2">
      <c r="A51" s="1"/>
      <c r="B51" s="13" t="s">
        <v>48</v>
      </c>
      <c r="C51" s="48">
        <v>208.5</v>
      </c>
      <c r="D51" s="6">
        <v>0</v>
      </c>
      <c r="E51" s="48">
        <v>30.4</v>
      </c>
      <c r="F51" s="50">
        <v>764.1</v>
      </c>
      <c r="G51" s="47">
        <f t="shared" si="0"/>
        <v>1003</v>
      </c>
      <c r="H51" s="60">
        <f t="shared" si="1"/>
        <v>1.7366794189745349E-2</v>
      </c>
      <c r="I51" s="60">
        <f t="shared" si="2"/>
        <v>1.4515174086594473E-3</v>
      </c>
      <c r="J51" s="60">
        <f t="shared" si="3"/>
        <v>2.7405465311875706E-2</v>
      </c>
      <c r="K51" s="60">
        <f t="shared" si="4"/>
        <v>1.6488420213718203E-2</v>
      </c>
    </row>
    <row r="52" spans="1:11" x14ac:dyDescent="0.2">
      <c r="A52" s="8"/>
      <c r="B52" s="9" t="s">
        <v>49</v>
      </c>
      <c r="C52" s="6">
        <v>513.6</v>
      </c>
      <c r="D52" s="6">
        <v>0</v>
      </c>
      <c r="E52" s="6">
        <v>670.2</v>
      </c>
      <c r="F52" s="6">
        <v>241.4</v>
      </c>
      <c r="G52" s="7">
        <f t="shared" si="0"/>
        <v>1425.2000000000003</v>
      </c>
      <c r="H52" s="60">
        <f t="shared" si="1"/>
        <v>4.277978655085473E-2</v>
      </c>
      <c r="I52" s="60">
        <f t="shared" si="2"/>
        <v>3.2000229186959266E-2</v>
      </c>
      <c r="J52" s="60">
        <f t="shared" si="3"/>
        <v>8.6581328704185261E-3</v>
      </c>
      <c r="K52" s="60">
        <f t="shared" si="4"/>
        <v>2.3429009460210558E-2</v>
      </c>
    </row>
    <row r="53" spans="1:11" x14ac:dyDescent="0.2">
      <c r="A53" s="8"/>
      <c r="B53" s="9" t="s">
        <v>50</v>
      </c>
      <c r="C53" s="6">
        <v>52.4</v>
      </c>
      <c r="D53" s="6">
        <v>0</v>
      </c>
      <c r="E53" s="6">
        <v>0</v>
      </c>
      <c r="F53" s="6">
        <v>264.2</v>
      </c>
      <c r="G53" s="7">
        <f t="shared" si="0"/>
        <v>316.59999999999997</v>
      </c>
      <c r="H53" s="60">
        <f t="shared" si="1"/>
        <v>4.3646043910918761E-3</v>
      </c>
      <c r="I53" s="60">
        <f t="shared" si="2"/>
        <v>0</v>
      </c>
      <c r="J53" s="60">
        <f t="shared" si="3"/>
        <v>9.4758852707728849E-3</v>
      </c>
      <c r="K53" s="60">
        <f t="shared" si="4"/>
        <v>5.2046199797240109E-3</v>
      </c>
    </row>
    <row r="54" spans="1:11" x14ac:dyDescent="0.2">
      <c r="A54" s="8"/>
      <c r="B54" s="9" t="s">
        <v>51</v>
      </c>
      <c r="C54" s="6">
        <v>681.8</v>
      </c>
      <c r="D54" s="6">
        <v>0</v>
      </c>
      <c r="E54" s="6">
        <v>0.1</v>
      </c>
      <c r="F54" s="6">
        <v>536.20000000000005</v>
      </c>
      <c r="G54" s="7">
        <f t="shared" si="0"/>
        <v>1218.0999999999999</v>
      </c>
      <c r="H54" s="60">
        <f t="shared" si="1"/>
        <v>5.6789833470351929E-2</v>
      </c>
      <c r="I54" s="60">
        <f t="shared" si="2"/>
        <v>4.7747283179587086E-6</v>
      </c>
      <c r="J54" s="60">
        <f t="shared" si="3"/>
        <v>1.9231527941667E-2</v>
      </c>
      <c r="K54" s="60">
        <f t="shared" si="4"/>
        <v>2.0024471248584388E-2</v>
      </c>
    </row>
    <row r="55" spans="1:11" x14ac:dyDescent="0.2">
      <c r="A55" s="8"/>
      <c r="B55" s="9" t="s">
        <v>52</v>
      </c>
      <c r="C55" s="6">
        <v>55.7</v>
      </c>
      <c r="D55" s="6">
        <v>0</v>
      </c>
      <c r="E55" s="6">
        <v>526.1</v>
      </c>
      <c r="F55" s="6">
        <v>190.9</v>
      </c>
      <c r="G55" s="7">
        <f t="shared" si="0"/>
        <v>772.7</v>
      </c>
      <c r="H55" s="60">
        <f t="shared" si="1"/>
        <v>4.6394745149583496E-3</v>
      </c>
      <c r="I55" s="60">
        <f t="shared" si="2"/>
        <v>2.5119845680780767E-2</v>
      </c>
      <c r="J55" s="60">
        <f t="shared" si="3"/>
        <v>6.8468830363003176E-3</v>
      </c>
      <c r="K55" s="60">
        <f t="shared" si="4"/>
        <v>1.2702494814695969E-2</v>
      </c>
    </row>
    <row r="56" spans="1:11" x14ac:dyDescent="0.2">
      <c r="A56" s="8"/>
      <c r="B56" s="9" t="s">
        <v>53</v>
      </c>
      <c r="C56" s="6">
        <v>187.1</v>
      </c>
      <c r="D56" s="6">
        <v>0</v>
      </c>
      <c r="E56" s="6">
        <v>0</v>
      </c>
      <c r="F56" s="6">
        <v>409.9</v>
      </c>
      <c r="G56" s="7">
        <f t="shared" si="0"/>
        <v>597</v>
      </c>
      <c r="H56" s="60">
        <f t="shared" si="1"/>
        <v>1.5584303083459733E-2</v>
      </c>
      <c r="I56" s="60">
        <f t="shared" si="2"/>
        <v>0</v>
      </c>
      <c r="J56" s="60">
        <f t="shared" si="3"/>
        <v>1.4701610039704032E-2</v>
      </c>
      <c r="K56" s="60">
        <f t="shared" si="4"/>
        <v>9.8141444342869071E-3</v>
      </c>
    </row>
    <row r="57" spans="1:11" x14ac:dyDescent="0.2">
      <c r="A57" s="8"/>
      <c r="B57" s="9" t="s">
        <v>54</v>
      </c>
      <c r="C57" s="6">
        <v>306.3</v>
      </c>
      <c r="D57" s="6">
        <v>0</v>
      </c>
      <c r="E57" s="6">
        <v>1132</v>
      </c>
      <c r="F57" s="6">
        <v>298.3</v>
      </c>
      <c r="G57" s="7">
        <f t="shared" si="0"/>
        <v>1736.6</v>
      </c>
      <c r="H57" s="60">
        <f t="shared" si="1"/>
        <v>2.5512945133424461E-2</v>
      </c>
      <c r="I57" s="60">
        <f t="shared" si="2"/>
        <v>5.4049924559292577E-2</v>
      </c>
      <c r="J57" s="60">
        <f t="shared" si="3"/>
        <v>1.0698927237969537E-2</v>
      </c>
      <c r="K57" s="60">
        <f t="shared" si="4"/>
        <v>2.8548146104828545E-2</v>
      </c>
    </row>
    <row r="58" spans="1:11" x14ac:dyDescent="0.2">
      <c r="A58" s="8"/>
      <c r="B58" s="9" t="s">
        <v>55</v>
      </c>
      <c r="C58" s="6">
        <v>349.1</v>
      </c>
      <c r="D58" s="6">
        <v>0</v>
      </c>
      <c r="E58" s="6">
        <v>0</v>
      </c>
      <c r="F58" s="6">
        <v>524.6</v>
      </c>
      <c r="G58" s="7">
        <f t="shared" si="0"/>
        <v>873.7</v>
      </c>
      <c r="H58" s="60">
        <f t="shared" si="1"/>
        <v>2.907792734599569E-2</v>
      </c>
      <c r="I58" s="60">
        <f t="shared" si="2"/>
        <v>0</v>
      </c>
      <c r="J58" s="60">
        <f t="shared" si="3"/>
        <v>1.8815478474820044E-2</v>
      </c>
      <c r="K58" s="60">
        <f t="shared" si="4"/>
        <v>1.4362844208101291E-2</v>
      </c>
    </row>
    <row r="59" spans="1:11" x14ac:dyDescent="0.2">
      <c r="A59" s="8"/>
      <c r="B59" s="9" t="s">
        <v>56</v>
      </c>
      <c r="C59" s="6">
        <v>17.899999999999999</v>
      </c>
      <c r="D59" s="6">
        <v>0</v>
      </c>
      <c r="E59" s="6">
        <v>0</v>
      </c>
      <c r="F59" s="6">
        <v>226</v>
      </c>
      <c r="G59" s="7">
        <f t="shared" si="0"/>
        <v>243.9</v>
      </c>
      <c r="H59" s="60">
        <f t="shared" si="1"/>
        <v>1.4909621870332936E-3</v>
      </c>
      <c r="I59" s="60">
        <f t="shared" si="2"/>
        <v>0</v>
      </c>
      <c r="J59" s="60">
        <f t="shared" si="3"/>
        <v>8.105791336845844E-3</v>
      </c>
      <c r="K59" s="60">
        <f t="shared" si="4"/>
        <v>4.0094971985302789E-3</v>
      </c>
    </row>
    <row r="60" spans="1:11" ht="13.5" thickBot="1" x14ac:dyDescent="0.25">
      <c r="A60" s="36" t="s">
        <v>57</v>
      </c>
      <c r="B60" s="34" t="s">
        <v>19</v>
      </c>
      <c r="C60" s="32">
        <f>SUM(C51:C59)</f>
        <v>2372.4</v>
      </c>
      <c r="D60" s="10">
        <f>SUM(D51:D59)</f>
        <v>0</v>
      </c>
      <c r="E60" s="31">
        <f>SUM(E51:E59)</f>
        <v>2358.8000000000002</v>
      </c>
      <c r="F60" s="32">
        <f>SUM(F51:F59)</f>
        <v>3455.6000000000004</v>
      </c>
      <c r="G60" s="43">
        <f t="shared" si="0"/>
        <v>8186.8000000000011</v>
      </c>
      <c r="H60" s="60">
        <f t="shared" si="1"/>
        <v>0.19760663086691541</v>
      </c>
      <c r="I60" s="60">
        <f t="shared" si="2"/>
        <v>0.11262629156401002</v>
      </c>
      <c r="J60" s="60">
        <f t="shared" si="3"/>
        <v>0.12393970152037391</v>
      </c>
      <c r="K60" s="60">
        <f t="shared" si="4"/>
        <v>0.13458364766268016</v>
      </c>
    </row>
    <row r="61" spans="1:11" ht="13.5" thickTop="1" x14ac:dyDescent="0.2">
      <c r="A61" s="1"/>
      <c r="B61" s="55" t="s">
        <v>58</v>
      </c>
      <c r="C61" s="50">
        <v>52.2</v>
      </c>
      <c r="D61" s="6">
        <v>0</v>
      </c>
      <c r="E61" s="48">
        <v>0</v>
      </c>
      <c r="F61" s="50">
        <v>166.9</v>
      </c>
      <c r="G61" s="53">
        <f t="shared" si="0"/>
        <v>219.10000000000002</v>
      </c>
      <c r="H61" s="60">
        <f t="shared" si="1"/>
        <v>4.3479455957060294E-3</v>
      </c>
      <c r="I61" s="60">
        <f t="shared" si="2"/>
        <v>0</v>
      </c>
      <c r="J61" s="60">
        <f t="shared" si="3"/>
        <v>5.9860910359273069E-3</v>
      </c>
      <c r="K61" s="60">
        <f t="shared" si="4"/>
        <v>3.6018074464862003E-3</v>
      </c>
    </row>
    <row r="62" spans="1:11" x14ac:dyDescent="0.2">
      <c r="A62" s="8" t="s">
        <v>2</v>
      </c>
      <c r="B62" s="9" t="s">
        <v>59</v>
      </c>
      <c r="C62" s="6">
        <v>71.8</v>
      </c>
      <c r="D62" s="6">
        <v>0</v>
      </c>
      <c r="E62" s="6">
        <v>268.7</v>
      </c>
      <c r="F62" s="6">
        <v>356.5</v>
      </c>
      <c r="G62" s="7">
        <f t="shared" si="0"/>
        <v>697</v>
      </c>
      <c r="H62" s="60">
        <f t="shared" si="1"/>
        <v>5.9805075435190209E-3</v>
      </c>
      <c r="I62" s="60">
        <f t="shared" si="2"/>
        <v>1.2829694990355049E-2</v>
      </c>
      <c r="J62" s="60">
        <f t="shared" si="3"/>
        <v>1.2786347838874087E-2</v>
      </c>
      <c r="K62" s="60">
        <f t="shared" si="4"/>
        <v>1.1458054724787226E-2</v>
      </c>
    </row>
    <row r="63" spans="1:11" x14ac:dyDescent="0.2">
      <c r="A63" s="8" t="s">
        <v>2</v>
      </c>
      <c r="B63" s="9" t="s">
        <v>60</v>
      </c>
      <c r="C63" s="6">
        <v>3.1</v>
      </c>
      <c r="D63" s="6">
        <v>0</v>
      </c>
      <c r="E63" s="6">
        <v>0</v>
      </c>
      <c r="F63" s="6">
        <v>62.2</v>
      </c>
      <c r="G63" s="7">
        <f t="shared" si="0"/>
        <v>65.3</v>
      </c>
      <c r="H63" s="60">
        <f t="shared" si="1"/>
        <v>2.5821132848062627E-4</v>
      </c>
      <c r="I63" s="60">
        <f t="shared" si="2"/>
        <v>0</v>
      </c>
      <c r="J63" s="60">
        <f t="shared" si="3"/>
        <v>2.2308859343000511E-3</v>
      </c>
      <c r="K63" s="60">
        <f t="shared" si="4"/>
        <v>1.0734734196967085E-3</v>
      </c>
    </row>
    <row r="64" spans="1:11" x14ac:dyDescent="0.2">
      <c r="A64" s="8" t="s">
        <v>2</v>
      </c>
      <c r="B64" s="9" t="s">
        <v>61</v>
      </c>
      <c r="C64" s="6">
        <v>84.1</v>
      </c>
      <c r="D64" s="6">
        <v>0</v>
      </c>
      <c r="E64" s="6">
        <v>953.5</v>
      </c>
      <c r="F64" s="6">
        <v>95.5</v>
      </c>
      <c r="G64" s="7">
        <f t="shared" si="0"/>
        <v>1133.0999999999999</v>
      </c>
      <c r="H64" s="60">
        <f t="shared" si="1"/>
        <v>7.0050234597486029E-3</v>
      </c>
      <c r="I64" s="60">
        <f t="shared" si="2"/>
        <v>4.5527034511736286E-2</v>
      </c>
      <c r="J64" s="60">
        <f t="shared" si="3"/>
        <v>3.4252348348176023E-3</v>
      </c>
      <c r="K64" s="60">
        <f t="shared" si="4"/>
        <v>1.8627147501659117E-2</v>
      </c>
    </row>
    <row r="65" spans="1:11" x14ac:dyDescent="0.2">
      <c r="A65" s="8" t="s">
        <v>2</v>
      </c>
      <c r="B65" s="9" t="s">
        <v>62</v>
      </c>
      <c r="C65" s="6">
        <v>426.2</v>
      </c>
      <c r="D65" s="6">
        <v>0</v>
      </c>
      <c r="E65" s="6">
        <v>161.69999999999999</v>
      </c>
      <c r="F65" s="6">
        <v>259.5</v>
      </c>
      <c r="G65" s="7">
        <f t="shared" si="0"/>
        <v>847.4</v>
      </c>
      <c r="H65" s="60">
        <f t="shared" si="1"/>
        <v>3.5499892967239648E-2</v>
      </c>
      <c r="I65" s="60">
        <f t="shared" si="2"/>
        <v>7.7207356901392308E-3</v>
      </c>
      <c r="J65" s="60">
        <f t="shared" si="3"/>
        <v>9.3073135040331705E-3</v>
      </c>
      <c r="K65" s="60">
        <f t="shared" si="4"/>
        <v>1.3930495801699706E-2</v>
      </c>
    </row>
    <row r="66" spans="1:11" x14ac:dyDescent="0.2">
      <c r="A66" s="8" t="s">
        <v>2</v>
      </c>
      <c r="B66" s="9" t="s">
        <v>63</v>
      </c>
      <c r="C66" s="6">
        <v>12.6</v>
      </c>
      <c r="D66" s="6">
        <v>0</v>
      </c>
      <c r="E66" s="6">
        <v>9.8000000000000007</v>
      </c>
      <c r="F66" s="6">
        <v>63.7</v>
      </c>
      <c r="G66" s="7">
        <f t="shared" si="0"/>
        <v>86.1</v>
      </c>
      <c r="H66" s="60">
        <f t="shared" si="1"/>
        <v>1.049504109308352E-3</v>
      </c>
      <c r="I66" s="60">
        <f t="shared" si="2"/>
        <v>4.6792337515995348E-4</v>
      </c>
      <c r="J66" s="60">
        <f t="shared" si="3"/>
        <v>2.284685434323364E-3</v>
      </c>
      <c r="K66" s="60">
        <f t="shared" si="4"/>
        <v>1.4154067601207748E-3</v>
      </c>
    </row>
    <row r="67" spans="1:11" x14ac:dyDescent="0.2">
      <c r="A67" s="8" t="s">
        <v>2</v>
      </c>
      <c r="B67" s="9" t="s">
        <v>64</v>
      </c>
      <c r="C67" s="6">
        <v>60.6</v>
      </c>
      <c r="D67" s="6">
        <v>0</v>
      </c>
      <c r="E67" s="6">
        <v>1.1000000000000001</v>
      </c>
      <c r="F67" s="6">
        <v>395.8</v>
      </c>
      <c r="G67" s="7">
        <f t="shared" si="0"/>
        <v>457.5</v>
      </c>
      <c r="H67" s="60">
        <f t="shared" si="1"/>
        <v>5.0476150019115977E-3</v>
      </c>
      <c r="I67" s="60">
        <f t="shared" si="2"/>
        <v>5.2522011497545798E-5</v>
      </c>
      <c r="J67" s="60">
        <f t="shared" si="3"/>
        <v>1.4195894739484891E-2</v>
      </c>
      <c r="K67" s="60">
        <f t="shared" si="4"/>
        <v>7.5208895790389611E-3</v>
      </c>
    </row>
    <row r="68" spans="1:11" x14ac:dyDescent="0.2">
      <c r="A68" s="8" t="s">
        <v>2</v>
      </c>
      <c r="B68" s="9" t="s">
        <v>65</v>
      </c>
      <c r="C68" s="6">
        <v>47.5</v>
      </c>
      <c r="D68" s="6">
        <v>0</v>
      </c>
      <c r="E68" s="6">
        <v>0</v>
      </c>
      <c r="F68" s="6">
        <v>266.2</v>
      </c>
      <c r="G68" s="7">
        <f t="shared" si="0"/>
        <v>313.7</v>
      </c>
      <c r="H68" s="60">
        <f t="shared" si="1"/>
        <v>3.956463904138628E-3</v>
      </c>
      <c r="I68" s="60">
        <f t="shared" si="2"/>
        <v>0</v>
      </c>
      <c r="J68" s="60">
        <f t="shared" si="3"/>
        <v>9.5476179374706354E-3</v>
      </c>
      <c r="K68" s="60">
        <f t="shared" si="4"/>
        <v>5.1569465812995015E-3</v>
      </c>
    </row>
    <row r="69" spans="1:11" x14ac:dyDescent="0.2">
      <c r="A69" s="8" t="s">
        <v>2</v>
      </c>
      <c r="B69" s="9" t="s">
        <v>66</v>
      </c>
      <c r="C69" s="6">
        <v>35.200000000000003</v>
      </c>
      <c r="D69" s="6">
        <v>0</v>
      </c>
      <c r="E69" s="6">
        <v>0</v>
      </c>
      <c r="F69" s="6">
        <v>58.3</v>
      </c>
      <c r="G69" s="7">
        <f t="shared" si="0"/>
        <v>93.5</v>
      </c>
      <c r="H69" s="60">
        <f t="shared" si="1"/>
        <v>2.931947987909047E-3</v>
      </c>
      <c r="I69" s="60">
        <f t="shared" si="2"/>
        <v>0</v>
      </c>
      <c r="J69" s="60">
        <f t="shared" si="3"/>
        <v>2.0910072342394366E-3</v>
      </c>
      <c r="K69" s="60">
        <f t="shared" si="4"/>
        <v>1.5370561216177987E-3</v>
      </c>
    </row>
    <row r="70" spans="1:11" x14ac:dyDescent="0.2">
      <c r="A70" s="8" t="s">
        <v>2</v>
      </c>
      <c r="B70" s="9" t="s">
        <v>67</v>
      </c>
      <c r="C70" s="6">
        <v>7.9</v>
      </c>
      <c r="D70" s="6">
        <v>0</v>
      </c>
      <c r="E70" s="6">
        <v>0</v>
      </c>
      <c r="F70" s="6">
        <v>136.19999999999999</v>
      </c>
      <c r="G70" s="7">
        <f t="shared" si="0"/>
        <v>144.1</v>
      </c>
      <c r="H70" s="60">
        <f t="shared" si="1"/>
        <v>6.5802241774095085E-4</v>
      </c>
      <c r="I70" s="60">
        <f t="shared" si="2"/>
        <v>0</v>
      </c>
      <c r="J70" s="60">
        <f t="shared" si="3"/>
        <v>4.8849946021168314E-3</v>
      </c>
      <c r="K70" s="60">
        <f t="shared" si="4"/>
        <v>2.3688747286109602E-3</v>
      </c>
    </row>
    <row r="71" spans="1:11" ht="13.5" thickBot="1" x14ac:dyDescent="0.25">
      <c r="A71" s="36" t="s">
        <v>68</v>
      </c>
      <c r="B71" s="34" t="s">
        <v>19</v>
      </c>
      <c r="C71" s="32">
        <f>SUM(C61:C70)</f>
        <v>801.2</v>
      </c>
      <c r="D71" s="10">
        <f>SUM(D61:D70)</f>
        <v>0</v>
      </c>
      <c r="E71" s="31">
        <f>SUM(E61:E70)</f>
        <v>1394.8</v>
      </c>
      <c r="F71" s="31">
        <f>SUM(F61:F70)</f>
        <v>1860.8000000000002</v>
      </c>
      <c r="G71" s="29">
        <f t="shared" ref="G71:G134" si="5">SUM(C71:F71)</f>
        <v>4056.8</v>
      </c>
      <c r="H71" s="60">
        <f t="shared" ref="H71:H134" si="6">C71/$C$136</f>
        <v>6.6735134315702507E-2</v>
      </c>
      <c r="I71" s="60">
        <f t="shared" ref="I71:I134" si="7">E71/$E$136</f>
        <v>6.6597910578888059E-2</v>
      </c>
      <c r="J71" s="60">
        <f t="shared" ref="J71:J134" si="8">F71/$F$136</f>
        <v>6.6740073095587382E-2</v>
      </c>
      <c r="K71" s="60">
        <f t="shared" ref="K71:K134" si="9">G71/$G$136</f>
        <v>6.6690152665016961E-2</v>
      </c>
    </row>
    <row r="72" spans="1:11" ht="13.5" thickTop="1" x14ac:dyDescent="0.2">
      <c r="A72" s="1"/>
      <c r="B72" s="55" t="s">
        <v>69</v>
      </c>
      <c r="C72" s="50">
        <v>164</v>
      </c>
      <c r="D72" s="6">
        <v>0</v>
      </c>
      <c r="E72" s="48">
        <v>3.1</v>
      </c>
      <c r="F72" s="48">
        <v>242.6</v>
      </c>
      <c r="G72" s="47">
        <f t="shared" si="5"/>
        <v>409.7</v>
      </c>
      <c r="H72" s="60">
        <f t="shared" si="6"/>
        <v>1.3660212216394423E-2</v>
      </c>
      <c r="I72" s="60">
        <f t="shared" si="7"/>
        <v>1.4801657785671997E-4</v>
      </c>
      <c r="J72" s="60">
        <f t="shared" si="8"/>
        <v>8.7011724704371754E-3</v>
      </c>
      <c r="K72" s="60">
        <f t="shared" si="9"/>
        <v>6.7351004601798083E-3</v>
      </c>
    </row>
    <row r="73" spans="1:11" x14ac:dyDescent="0.2">
      <c r="A73" s="8" t="s">
        <v>2</v>
      </c>
      <c r="B73" s="9" t="s">
        <v>70</v>
      </c>
      <c r="C73" s="6">
        <v>25.5</v>
      </c>
      <c r="D73" s="6">
        <v>0</v>
      </c>
      <c r="E73" s="6">
        <v>0</v>
      </c>
      <c r="F73" s="6">
        <v>92.4</v>
      </c>
      <c r="G73" s="7">
        <f t="shared" si="5"/>
        <v>117.9</v>
      </c>
      <c r="H73" s="60">
        <f t="shared" si="6"/>
        <v>2.1239964116954741E-3</v>
      </c>
      <c r="I73" s="60">
        <f t="shared" si="7"/>
        <v>0</v>
      </c>
      <c r="J73" s="60">
        <f t="shared" si="8"/>
        <v>3.3140492014360886E-3</v>
      </c>
      <c r="K73" s="60">
        <f t="shared" si="9"/>
        <v>1.9381702324998767E-3</v>
      </c>
    </row>
    <row r="74" spans="1:11" x14ac:dyDescent="0.2">
      <c r="A74" s="8" t="s">
        <v>2</v>
      </c>
      <c r="B74" s="9" t="s">
        <v>71</v>
      </c>
      <c r="C74" s="6">
        <v>44.9</v>
      </c>
      <c r="D74" s="6">
        <v>0</v>
      </c>
      <c r="E74" s="6">
        <v>0</v>
      </c>
      <c r="F74" s="6">
        <v>133.30000000000001</v>
      </c>
      <c r="G74" s="7">
        <f t="shared" si="5"/>
        <v>178.20000000000002</v>
      </c>
      <c r="H74" s="60">
        <f t="shared" si="6"/>
        <v>3.7398995641226194E-3</v>
      </c>
      <c r="I74" s="60">
        <f t="shared" si="7"/>
        <v>0</v>
      </c>
      <c r="J74" s="60">
        <f t="shared" si="8"/>
        <v>4.7809822354050934E-3</v>
      </c>
      <c r="K74" s="60">
        <f t="shared" si="9"/>
        <v>2.9294481376715693E-3</v>
      </c>
    </row>
    <row r="75" spans="1:11" x14ac:dyDescent="0.2">
      <c r="A75" s="8" t="s">
        <v>2</v>
      </c>
      <c r="B75" s="9" t="s">
        <v>72</v>
      </c>
      <c r="C75" s="6">
        <v>52.9</v>
      </c>
      <c r="D75" s="6">
        <v>0</v>
      </c>
      <c r="E75" s="6">
        <v>0</v>
      </c>
      <c r="F75" s="6">
        <v>157.5</v>
      </c>
      <c r="G75" s="7">
        <f t="shared" si="5"/>
        <v>210.4</v>
      </c>
      <c r="H75" s="60">
        <f t="shared" si="6"/>
        <v>4.4062513795564938E-3</v>
      </c>
      <c r="I75" s="60">
        <f t="shared" si="7"/>
        <v>0</v>
      </c>
      <c r="J75" s="60">
        <f t="shared" si="8"/>
        <v>5.6489475024478781E-3</v>
      </c>
      <c r="K75" s="60">
        <f t="shared" si="9"/>
        <v>3.4587872512126723E-3</v>
      </c>
    </row>
    <row r="76" spans="1:11" x14ac:dyDescent="0.2">
      <c r="A76" s="14"/>
      <c r="B76" s="15" t="s">
        <v>73</v>
      </c>
      <c r="C76" s="6">
        <v>0</v>
      </c>
      <c r="D76" s="6">
        <v>0</v>
      </c>
      <c r="E76" s="6">
        <v>0</v>
      </c>
      <c r="F76" s="6">
        <v>63.8</v>
      </c>
      <c r="G76" s="7">
        <f t="shared" si="5"/>
        <v>63.8</v>
      </c>
      <c r="H76" s="60">
        <f t="shared" si="6"/>
        <v>0</v>
      </c>
      <c r="I76" s="60">
        <f t="shared" si="7"/>
        <v>0</v>
      </c>
      <c r="J76" s="60">
        <f t="shared" si="8"/>
        <v>2.2882720676582514E-3</v>
      </c>
      <c r="K76" s="60">
        <f t="shared" si="9"/>
        <v>1.0488147653392038E-3</v>
      </c>
    </row>
    <row r="77" spans="1:11" ht="13.5" thickBot="1" x14ac:dyDescent="0.25">
      <c r="A77" s="36" t="s">
        <v>74</v>
      </c>
      <c r="B77" s="34" t="s">
        <v>19</v>
      </c>
      <c r="C77" s="32">
        <f>SUM(C72:C76)</f>
        <v>287.3</v>
      </c>
      <c r="D77" s="10">
        <f>SUM(D72:D76)</f>
        <v>0</v>
      </c>
      <c r="E77" s="32">
        <f>SUM(E72:E76)</f>
        <v>3.1</v>
      </c>
      <c r="F77" s="32">
        <f>SUM(F72:F76)</f>
        <v>689.59999999999991</v>
      </c>
      <c r="G77" s="29">
        <f t="shared" si="5"/>
        <v>980</v>
      </c>
      <c r="H77" s="60">
        <f t="shared" si="6"/>
        <v>2.3930359571769009E-2</v>
      </c>
      <c r="I77" s="60">
        <f t="shared" si="7"/>
        <v>1.4801657785671997E-4</v>
      </c>
      <c r="J77" s="60">
        <f t="shared" si="8"/>
        <v>2.4733423477384484E-2</v>
      </c>
      <c r="K77" s="60">
        <f t="shared" si="9"/>
        <v>1.6110320846903128E-2</v>
      </c>
    </row>
    <row r="78" spans="1:11" ht="13.5" thickTop="1" x14ac:dyDescent="0.2">
      <c r="A78" s="1"/>
      <c r="B78" s="55" t="s">
        <v>75</v>
      </c>
      <c r="C78" s="50">
        <v>75.900000000000006</v>
      </c>
      <c r="D78" s="6">
        <v>0</v>
      </c>
      <c r="E78" s="50">
        <v>152.30000000000001</v>
      </c>
      <c r="F78" s="50">
        <v>322.8</v>
      </c>
      <c r="G78" s="47">
        <f t="shared" si="5"/>
        <v>551</v>
      </c>
      <c r="H78" s="60">
        <f t="shared" si="6"/>
        <v>6.3220128489288822E-3</v>
      </c>
      <c r="I78" s="60">
        <f t="shared" si="7"/>
        <v>7.2719112282511131E-3</v>
      </c>
      <c r="J78" s="60">
        <f t="shared" si="8"/>
        <v>1.1577652405016984E-2</v>
      </c>
      <c r="K78" s="60">
        <f t="shared" si="9"/>
        <v>9.0579457006567596E-3</v>
      </c>
    </row>
    <row r="79" spans="1:11" x14ac:dyDescent="0.2">
      <c r="A79" s="8" t="s">
        <v>2</v>
      </c>
      <c r="B79" s="9" t="s">
        <v>76</v>
      </c>
      <c r="C79" s="6">
        <v>179.8</v>
      </c>
      <c r="D79" s="6">
        <v>0</v>
      </c>
      <c r="E79" s="6">
        <v>34.299999999999997</v>
      </c>
      <c r="F79" s="6">
        <v>91.4</v>
      </c>
      <c r="G79" s="7">
        <f t="shared" si="5"/>
        <v>305.5</v>
      </c>
      <c r="H79" s="60">
        <f t="shared" si="6"/>
        <v>1.4976257051876324E-2</v>
      </c>
      <c r="I79" s="60">
        <f t="shared" si="7"/>
        <v>1.6377318130598368E-3</v>
      </c>
      <c r="J79" s="60">
        <f t="shared" si="8"/>
        <v>3.2781828680872134E-3</v>
      </c>
      <c r="K79" s="60">
        <f t="shared" si="9"/>
        <v>5.0221459374784755E-3</v>
      </c>
    </row>
    <row r="80" spans="1:11" ht="13.5" thickBot="1" x14ac:dyDescent="0.25">
      <c r="A80" s="14" t="s">
        <v>77</v>
      </c>
      <c r="B80" s="34" t="s">
        <v>19</v>
      </c>
      <c r="C80" s="32">
        <f>SUM(C78:C79)</f>
        <v>255.70000000000002</v>
      </c>
      <c r="D80" s="10">
        <f>SUM(D78:D79)</f>
        <v>0</v>
      </c>
      <c r="E80" s="31">
        <f>SUM(E78:E79)</f>
        <v>186.60000000000002</v>
      </c>
      <c r="F80" s="31">
        <f>SUM(F78:F79)</f>
        <v>414.20000000000005</v>
      </c>
      <c r="G80" s="29">
        <f t="shared" si="5"/>
        <v>856.50000000000011</v>
      </c>
      <c r="H80" s="60">
        <f t="shared" si="6"/>
        <v>2.1298269900805206E-2</v>
      </c>
      <c r="I80" s="60">
        <f t="shared" si="7"/>
        <v>8.9096430413109513E-3</v>
      </c>
      <c r="J80" s="60">
        <f t="shared" si="8"/>
        <v>1.4855835273104199E-2</v>
      </c>
      <c r="K80" s="60">
        <f t="shared" si="9"/>
        <v>1.4080091638135237E-2</v>
      </c>
    </row>
    <row r="81" spans="1:11" ht="13.5" thickTop="1" x14ac:dyDescent="0.2">
      <c r="A81" s="54"/>
      <c r="B81" s="55" t="s">
        <v>78</v>
      </c>
      <c r="C81" s="50">
        <v>243</v>
      </c>
      <c r="D81" s="6">
        <v>0</v>
      </c>
      <c r="E81" s="48">
        <v>20.7</v>
      </c>
      <c r="F81" s="48">
        <v>111.7</v>
      </c>
      <c r="G81" s="47">
        <f t="shared" si="5"/>
        <v>375.4</v>
      </c>
      <c r="H81" s="60">
        <f t="shared" si="6"/>
        <v>2.0240436393803931E-2</v>
      </c>
      <c r="I81" s="60">
        <f t="shared" si="7"/>
        <v>9.8836876181745254E-4</v>
      </c>
      <c r="J81" s="60">
        <f t="shared" si="8"/>
        <v>4.006269435069384E-3</v>
      </c>
      <c r="K81" s="60">
        <f t="shared" si="9"/>
        <v>6.1712392305381981E-3</v>
      </c>
    </row>
    <row r="82" spans="1:11" x14ac:dyDescent="0.2">
      <c r="A82" s="8"/>
      <c r="B82" s="9" t="s">
        <v>79</v>
      </c>
      <c r="C82" s="6">
        <v>164.87</v>
      </c>
      <c r="D82" s="6">
        <v>0</v>
      </c>
      <c r="E82" s="6">
        <v>393</v>
      </c>
      <c r="F82" s="6">
        <v>120.5</v>
      </c>
      <c r="G82" s="7">
        <f t="shared" si="5"/>
        <v>678.37</v>
      </c>
      <c r="H82" s="60">
        <f t="shared" si="6"/>
        <v>1.3732677976322856E-2</v>
      </c>
      <c r="I82" s="60">
        <f t="shared" si="7"/>
        <v>1.8764682289577724E-2</v>
      </c>
      <c r="J82" s="60">
        <f t="shared" si="8"/>
        <v>4.3218931685394873E-3</v>
      </c>
      <c r="K82" s="60">
        <f t="shared" si="9"/>
        <v>1.1151794237667016E-2</v>
      </c>
    </row>
    <row r="83" spans="1:11" x14ac:dyDescent="0.2">
      <c r="A83" s="8" t="s">
        <v>2</v>
      </c>
      <c r="B83" s="9" t="s">
        <v>80</v>
      </c>
      <c r="C83" s="6">
        <v>11.4</v>
      </c>
      <c r="D83" s="6">
        <v>0</v>
      </c>
      <c r="E83" s="6">
        <v>0</v>
      </c>
      <c r="F83" s="6">
        <v>34</v>
      </c>
      <c r="G83" s="7">
        <f t="shared" si="5"/>
        <v>45.4</v>
      </c>
      <c r="H83" s="60">
        <f t="shared" si="6"/>
        <v>9.4955133699327083E-4</v>
      </c>
      <c r="I83" s="60">
        <f t="shared" si="7"/>
        <v>0</v>
      </c>
      <c r="J83" s="60">
        <f t="shared" si="8"/>
        <v>1.2194553338617641E-3</v>
      </c>
      <c r="K83" s="60">
        <f t="shared" si="9"/>
        <v>7.4633527188714495E-4</v>
      </c>
    </row>
    <row r="84" spans="1:11" x14ac:dyDescent="0.2">
      <c r="A84" s="8" t="s">
        <v>2</v>
      </c>
      <c r="B84" s="9" t="s">
        <v>81</v>
      </c>
      <c r="C84" s="6">
        <v>78</v>
      </c>
      <c r="D84" s="6">
        <v>0</v>
      </c>
      <c r="E84" s="6">
        <v>169.9</v>
      </c>
      <c r="F84" s="6">
        <v>1387.7</v>
      </c>
      <c r="G84" s="7">
        <f t="shared" si="5"/>
        <v>1635.6000000000001</v>
      </c>
      <c r="H84" s="60">
        <f t="shared" si="6"/>
        <v>6.4969302004802736E-3</v>
      </c>
      <c r="I84" s="60">
        <f t="shared" si="7"/>
        <v>8.112263412211846E-3</v>
      </c>
      <c r="J84" s="60">
        <f t="shared" si="8"/>
        <v>4.9771710788234419E-2</v>
      </c>
      <c r="K84" s="60">
        <f t="shared" si="9"/>
        <v>2.6887796711423224E-2</v>
      </c>
    </row>
    <row r="85" spans="1:11" x14ac:dyDescent="0.2">
      <c r="A85" s="8" t="s">
        <v>2</v>
      </c>
      <c r="B85" s="9" t="s">
        <v>82</v>
      </c>
      <c r="C85" s="6">
        <v>28.7</v>
      </c>
      <c r="D85" s="6">
        <v>0</v>
      </c>
      <c r="E85" s="6">
        <v>38.700000000000003</v>
      </c>
      <c r="F85" s="6">
        <v>72.599999999999994</v>
      </c>
      <c r="G85" s="7">
        <f t="shared" si="5"/>
        <v>140</v>
      </c>
      <c r="H85" s="60">
        <f t="shared" si="6"/>
        <v>2.3905371378690238E-3</v>
      </c>
      <c r="I85" s="60">
        <f t="shared" si="7"/>
        <v>1.8478198590500202E-3</v>
      </c>
      <c r="J85" s="60">
        <f t="shared" si="8"/>
        <v>2.6038958011283552E-3</v>
      </c>
      <c r="K85" s="60">
        <f t="shared" si="9"/>
        <v>2.3014744067004472E-3</v>
      </c>
    </row>
    <row r="86" spans="1:11" ht="13.5" thickBot="1" x14ac:dyDescent="0.25">
      <c r="A86" s="14" t="s">
        <v>83</v>
      </c>
      <c r="B86" s="34" t="s">
        <v>19</v>
      </c>
      <c r="C86" s="31">
        <f>SUM(C81:C85)</f>
        <v>525.97</v>
      </c>
      <c r="D86" s="10">
        <f>SUM(D81:D85)</f>
        <v>0</v>
      </c>
      <c r="E86" s="32">
        <f>SUM(E81:E85)</f>
        <v>622.30000000000007</v>
      </c>
      <c r="F86" s="31">
        <f>SUM(F81:F85)</f>
        <v>1726.5</v>
      </c>
      <c r="G86" s="43">
        <f t="shared" si="5"/>
        <v>2874.77</v>
      </c>
      <c r="H86" s="60">
        <f t="shared" si="6"/>
        <v>4.3810133045469359E-2</v>
      </c>
      <c r="I86" s="60">
        <f t="shared" si="7"/>
        <v>2.9713134322657046E-2</v>
      </c>
      <c r="J86" s="60">
        <f t="shared" si="8"/>
        <v>6.1923224526833409E-2</v>
      </c>
      <c r="K86" s="60">
        <f t="shared" si="9"/>
        <v>4.7258639858216031E-2</v>
      </c>
    </row>
    <row r="87" spans="1:11" ht="13.5" thickTop="1" x14ac:dyDescent="0.2">
      <c r="A87" s="54"/>
      <c r="B87" s="55" t="s">
        <v>84</v>
      </c>
      <c r="C87" s="48">
        <v>11.9</v>
      </c>
      <c r="D87" s="6">
        <v>0</v>
      </c>
      <c r="E87" s="50">
        <v>216.8</v>
      </c>
      <c r="F87" s="48">
        <v>87.3</v>
      </c>
      <c r="G87" s="53">
        <f t="shared" si="5"/>
        <v>316</v>
      </c>
      <c r="H87" s="60">
        <f t="shared" si="6"/>
        <v>9.9119832545788806E-4</v>
      </c>
      <c r="I87" s="60">
        <f t="shared" si="7"/>
        <v>1.0351610993334481E-2</v>
      </c>
      <c r="J87" s="60">
        <f t="shared" si="8"/>
        <v>3.1311309013568236E-3</v>
      </c>
      <c r="K87" s="60">
        <f t="shared" si="9"/>
        <v>5.1947565179810088E-3</v>
      </c>
    </row>
    <row r="88" spans="1:11" x14ac:dyDescent="0.2">
      <c r="A88" s="8"/>
      <c r="B88" s="9" t="s">
        <v>85</v>
      </c>
      <c r="C88" s="6">
        <v>4</v>
      </c>
      <c r="D88" s="6">
        <v>0</v>
      </c>
      <c r="E88" s="6">
        <v>0</v>
      </c>
      <c r="F88" s="6">
        <v>27</v>
      </c>
      <c r="G88" s="7">
        <f t="shared" si="5"/>
        <v>31</v>
      </c>
      <c r="H88" s="60">
        <f t="shared" si="6"/>
        <v>3.331759077169371E-4</v>
      </c>
      <c r="I88" s="60">
        <f t="shared" si="7"/>
        <v>0</v>
      </c>
      <c r="J88" s="60">
        <f t="shared" si="8"/>
        <v>9.683910004196362E-4</v>
      </c>
      <c r="K88" s="60">
        <f t="shared" si="9"/>
        <v>5.0961219005509904E-4</v>
      </c>
    </row>
    <row r="89" spans="1:11" ht="13.5" thickBot="1" x14ac:dyDescent="0.25">
      <c r="A89" s="14" t="s">
        <v>86</v>
      </c>
      <c r="B89" s="56" t="s">
        <v>19</v>
      </c>
      <c r="C89" s="31">
        <f>SUM(C87:C88)</f>
        <v>15.9</v>
      </c>
      <c r="D89" s="10">
        <f>SUM(D87:D88)</f>
        <v>0</v>
      </c>
      <c r="E89" s="32">
        <f>SUM(E87:E88)</f>
        <v>216.8</v>
      </c>
      <c r="F89" s="32">
        <f>SUM(F87:F88)</f>
        <v>114.3</v>
      </c>
      <c r="G89" s="29">
        <f t="shared" si="5"/>
        <v>347</v>
      </c>
      <c r="H89" s="60">
        <f t="shared" si="6"/>
        <v>1.3243742331748251E-3</v>
      </c>
      <c r="I89" s="60">
        <f t="shared" si="7"/>
        <v>1.0351610993334481E-2</v>
      </c>
      <c r="J89" s="60">
        <f t="shared" si="8"/>
        <v>4.09952190177646E-3</v>
      </c>
      <c r="K89" s="60">
        <f t="shared" si="9"/>
        <v>5.7043687080361085E-3</v>
      </c>
    </row>
    <row r="90" spans="1:11" ht="13.5" thickTop="1" x14ac:dyDescent="0.2">
      <c r="A90" s="54"/>
      <c r="B90" s="13" t="s">
        <v>87</v>
      </c>
      <c r="C90" s="48">
        <v>128.9</v>
      </c>
      <c r="D90" s="6">
        <v>0</v>
      </c>
      <c r="E90" s="50">
        <v>15.3</v>
      </c>
      <c r="F90" s="50">
        <v>165.8</v>
      </c>
      <c r="G90" s="47">
        <f t="shared" si="5"/>
        <v>310</v>
      </c>
      <c r="H90" s="60">
        <f t="shared" si="6"/>
        <v>1.0736593626178299E-2</v>
      </c>
      <c r="I90" s="60">
        <f t="shared" si="7"/>
        <v>7.3053343264768244E-4</v>
      </c>
      <c r="J90" s="60">
        <f t="shared" si="8"/>
        <v>5.9466380692435447E-3</v>
      </c>
      <c r="K90" s="60">
        <f t="shared" si="9"/>
        <v>5.09612190055099E-3</v>
      </c>
    </row>
    <row r="91" spans="1:11" x14ac:dyDescent="0.2">
      <c r="A91" s="8"/>
      <c r="B91" s="9" t="s">
        <v>88</v>
      </c>
      <c r="C91" s="6">
        <v>166.3</v>
      </c>
      <c r="D91" s="6">
        <v>0</v>
      </c>
      <c r="E91" s="6">
        <v>374.5</v>
      </c>
      <c r="F91" s="6">
        <v>124.4</v>
      </c>
      <c r="G91" s="7">
        <f t="shared" si="5"/>
        <v>665.19999999999993</v>
      </c>
      <c r="H91" s="60">
        <f t="shared" si="6"/>
        <v>1.3851788363331662E-2</v>
      </c>
      <c r="I91" s="60">
        <f t="shared" si="7"/>
        <v>1.7881357550755362E-2</v>
      </c>
      <c r="J91" s="60">
        <f t="shared" si="8"/>
        <v>4.4617718686001022E-3</v>
      </c>
      <c r="K91" s="60">
        <f t="shared" si="9"/>
        <v>1.0935291252408124E-2</v>
      </c>
    </row>
    <row r="92" spans="1:11" x14ac:dyDescent="0.2">
      <c r="A92" s="8"/>
      <c r="B92" s="9" t="s">
        <v>89</v>
      </c>
      <c r="C92" s="6">
        <v>30.6</v>
      </c>
      <c r="D92" s="6">
        <v>0</v>
      </c>
      <c r="E92" s="6">
        <v>17.8</v>
      </c>
      <c r="F92" s="6">
        <v>120.2</v>
      </c>
      <c r="G92" s="7">
        <f t="shared" si="5"/>
        <v>168.60000000000002</v>
      </c>
      <c r="H92" s="60">
        <f t="shared" si="6"/>
        <v>2.5487956940345694E-3</v>
      </c>
      <c r="I92" s="60">
        <f t="shared" si="7"/>
        <v>8.4990164059665018E-4</v>
      </c>
      <c r="J92" s="60">
        <f t="shared" si="8"/>
        <v>4.3111332685348254E-3</v>
      </c>
      <c r="K92" s="60">
        <f t="shared" si="9"/>
        <v>2.7716327497835386E-3</v>
      </c>
    </row>
    <row r="93" spans="1:11" x14ac:dyDescent="0.2">
      <c r="A93" s="8"/>
      <c r="B93" s="9" t="s">
        <v>90</v>
      </c>
      <c r="C93" s="6">
        <v>14.6</v>
      </c>
      <c r="D93" s="6">
        <v>0</v>
      </c>
      <c r="E93" s="6">
        <v>0</v>
      </c>
      <c r="F93" s="6">
        <v>164.6</v>
      </c>
      <c r="G93" s="7">
        <f t="shared" si="5"/>
        <v>179.2</v>
      </c>
      <c r="H93" s="60">
        <f t="shared" si="6"/>
        <v>1.2160920631668205E-3</v>
      </c>
      <c r="I93" s="60">
        <f t="shared" si="7"/>
        <v>0</v>
      </c>
      <c r="J93" s="60">
        <f t="shared" si="8"/>
        <v>5.9035984692248937E-3</v>
      </c>
      <c r="K93" s="60">
        <f t="shared" si="9"/>
        <v>2.945887240576572E-3</v>
      </c>
    </row>
    <row r="94" spans="1:11" ht="13.5" thickBot="1" x14ac:dyDescent="0.25">
      <c r="A94" s="36" t="s">
        <v>91</v>
      </c>
      <c r="B94" s="34" t="s">
        <v>19</v>
      </c>
      <c r="C94" s="32">
        <f>SUM(C90:C93)</f>
        <v>340.40000000000009</v>
      </c>
      <c r="D94" s="10">
        <f>SUM(D90:D93)</f>
        <v>0</v>
      </c>
      <c r="E94" s="32">
        <f>SUM(E90:E93)</f>
        <v>407.6</v>
      </c>
      <c r="F94" s="32">
        <f>SUM(F90:F93)</f>
        <v>575</v>
      </c>
      <c r="G94" s="43">
        <f t="shared" si="5"/>
        <v>1323</v>
      </c>
      <c r="H94" s="60">
        <f t="shared" si="6"/>
        <v>2.8353269746711356E-2</v>
      </c>
      <c r="I94" s="60">
        <f t="shared" si="7"/>
        <v>1.9461792623999698E-2</v>
      </c>
      <c r="J94" s="60">
        <f t="shared" si="8"/>
        <v>2.0623141675603366E-2</v>
      </c>
      <c r="K94" s="60">
        <f t="shared" si="9"/>
        <v>2.1748933143319226E-2</v>
      </c>
    </row>
    <row r="95" spans="1:11" ht="13.5" thickTop="1" x14ac:dyDescent="0.2">
      <c r="A95" s="1"/>
      <c r="B95" s="55" t="s">
        <v>92</v>
      </c>
      <c r="C95" s="50">
        <v>80</v>
      </c>
      <c r="D95" s="6">
        <v>0</v>
      </c>
      <c r="E95" s="50">
        <v>0</v>
      </c>
      <c r="F95" s="50">
        <v>92.7</v>
      </c>
      <c r="G95" s="53">
        <f t="shared" si="5"/>
        <v>172.7</v>
      </c>
      <c r="H95" s="60">
        <f t="shared" si="6"/>
        <v>6.6635181543387425E-3</v>
      </c>
      <c r="I95" s="60">
        <f t="shared" si="7"/>
        <v>0</v>
      </c>
      <c r="J95" s="60">
        <f t="shared" si="8"/>
        <v>3.3248091014407514E-3</v>
      </c>
      <c r="K95" s="60">
        <f t="shared" si="9"/>
        <v>2.8390330716940512E-3</v>
      </c>
    </row>
    <row r="96" spans="1:11" x14ac:dyDescent="0.2">
      <c r="A96" s="8"/>
      <c r="B96" s="9" t="s">
        <v>93</v>
      </c>
      <c r="C96" s="6">
        <v>13.4</v>
      </c>
      <c r="D96" s="6">
        <v>0</v>
      </c>
      <c r="E96" s="6">
        <v>0</v>
      </c>
      <c r="F96" s="6">
        <v>51</v>
      </c>
      <c r="G96" s="7">
        <f t="shared" si="5"/>
        <v>64.400000000000006</v>
      </c>
      <c r="H96" s="60">
        <f t="shared" si="6"/>
        <v>1.1161392908517393E-3</v>
      </c>
      <c r="I96" s="60">
        <f t="shared" si="7"/>
        <v>0</v>
      </c>
      <c r="J96" s="60">
        <f t="shared" si="8"/>
        <v>1.8291830007926462E-3</v>
      </c>
      <c r="K96" s="60">
        <f t="shared" si="9"/>
        <v>1.0586782270822059E-3</v>
      </c>
    </row>
    <row r="97" spans="1:11" x14ac:dyDescent="0.2">
      <c r="A97" s="8"/>
      <c r="B97" s="9" t="s">
        <v>94</v>
      </c>
      <c r="C97" s="6">
        <v>103.1</v>
      </c>
      <c r="D97" s="6">
        <v>0</v>
      </c>
      <c r="E97" s="6">
        <v>1141</v>
      </c>
      <c r="F97" s="6">
        <v>142.80000000000001</v>
      </c>
      <c r="G97" s="7">
        <f t="shared" si="5"/>
        <v>1386.8999999999999</v>
      </c>
      <c r="H97" s="60">
        <f t="shared" si="6"/>
        <v>8.5876090214040534E-3</v>
      </c>
      <c r="I97" s="60">
        <f t="shared" si="7"/>
        <v>5.4479650107908867E-2</v>
      </c>
      <c r="J97" s="60">
        <f t="shared" si="8"/>
        <v>5.1217124022194102E-3</v>
      </c>
      <c r="K97" s="60">
        <f t="shared" si="9"/>
        <v>2.2799391818948928E-2</v>
      </c>
    </row>
    <row r="98" spans="1:11" x14ac:dyDescent="0.2">
      <c r="A98" s="8"/>
      <c r="B98" s="9" t="s">
        <v>95</v>
      </c>
      <c r="C98" s="6">
        <v>106</v>
      </c>
      <c r="D98" s="6">
        <v>0</v>
      </c>
      <c r="E98" s="6">
        <v>155.4</v>
      </c>
      <c r="F98" s="6">
        <v>516.20000000000005</v>
      </c>
      <c r="G98" s="7">
        <f t="shared" si="5"/>
        <v>777.6</v>
      </c>
      <c r="H98" s="60">
        <f t="shared" si="6"/>
        <v>8.8291615544988343E-3</v>
      </c>
      <c r="I98" s="60">
        <f t="shared" si="7"/>
        <v>7.419927806107833E-3</v>
      </c>
      <c r="J98" s="60">
        <f t="shared" si="8"/>
        <v>1.8514201274689491E-2</v>
      </c>
      <c r="K98" s="60">
        <f t="shared" si="9"/>
        <v>1.2783046418930483E-2</v>
      </c>
    </row>
    <row r="99" spans="1:11" x14ac:dyDescent="0.2">
      <c r="A99" s="8"/>
      <c r="B99" s="9" t="s">
        <v>96</v>
      </c>
      <c r="C99" s="6">
        <v>132.19999999999999</v>
      </c>
      <c r="D99" s="6">
        <v>0</v>
      </c>
      <c r="E99" s="6">
        <v>0</v>
      </c>
      <c r="F99" s="6">
        <v>189.3</v>
      </c>
      <c r="G99" s="7">
        <f t="shared" si="5"/>
        <v>321.5</v>
      </c>
      <c r="H99" s="60">
        <f t="shared" si="6"/>
        <v>1.1011463750044772E-2</v>
      </c>
      <c r="I99" s="60">
        <f t="shared" si="7"/>
        <v>0</v>
      </c>
      <c r="J99" s="60">
        <f t="shared" si="8"/>
        <v>6.7894969029421168E-3</v>
      </c>
      <c r="K99" s="60">
        <f t="shared" si="9"/>
        <v>5.2851715839585265E-3</v>
      </c>
    </row>
    <row r="100" spans="1:11" ht="13.5" thickBot="1" x14ac:dyDescent="0.25">
      <c r="A100" s="14" t="s">
        <v>97</v>
      </c>
      <c r="B100" s="34" t="s">
        <v>19</v>
      </c>
      <c r="C100" s="32">
        <f>SUM(C95:C99)</f>
        <v>434.7</v>
      </c>
      <c r="D100" s="10">
        <f>SUM(D95:D99)</f>
        <v>0</v>
      </c>
      <c r="E100" s="32">
        <f>SUM(E95:E99)</f>
        <v>1296.4000000000001</v>
      </c>
      <c r="F100" s="32">
        <f>SUM(F95:F99)</f>
        <v>992</v>
      </c>
      <c r="G100" s="43">
        <f t="shared" si="5"/>
        <v>2723.1000000000004</v>
      </c>
      <c r="H100" s="60">
        <f t="shared" si="6"/>
        <v>3.6207891771138138E-2</v>
      </c>
      <c r="I100" s="60">
        <f t="shared" si="7"/>
        <v>6.18995779140167E-2</v>
      </c>
      <c r="J100" s="60">
        <f t="shared" si="8"/>
        <v>3.5579402682084413E-2</v>
      </c>
      <c r="K100" s="60">
        <f t="shared" si="9"/>
        <v>4.4765321120614203E-2</v>
      </c>
    </row>
    <row r="101" spans="1:11" ht="13.5" thickTop="1" x14ac:dyDescent="0.2">
      <c r="A101" s="57"/>
      <c r="B101" s="55" t="s">
        <v>98</v>
      </c>
      <c r="C101" s="50">
        <v>129</v>
      </c>
      <c r="D101" s="6">
        <v>0</v>
      </c>
      <c r="E101" s="50">
        <v>286.60000000000002</v>
      </c>
      <c r="F101" s="50">
        <v>333.6</v>
      </c>
      <c r="G101" s="53">
        <f t="shared" si="5"/>
        <v>749.2</v>
      </c>
      <c r="H101" s="60">
        <f t="shared" si="6"/>
        <v>1.0744923023871223E-2</v>
      </c>
      <c r="I101" s="60">
        <f t="shared" si="7"/>
        <v>1.368437135926966E-2</v>
      </c>
      <c r="J101" s="60">
        <f t="shared" si="8"/>
        <v>1.196500880518484E-2</v>
      </c>
      <c r="K101" s="60">
        <f t="shared" si="9"/>
        <v>1.2316175896428394E-2</v>
      </c>
    </row>
    <row r="102" spans="1:11" x14ac:dyDescent="0.2">
      <c r="A102" s="17" t="s">
        <v>2</v>
      </c>
      <c r="B102" s="13" t="s">
        <v>99</v>
      </c>
      <c r="C102" s="6">
        <v>3.9</v>
      </c>
      <c r="D102" s="6">
        <v>0</v>
      </c>
      <c r="E102" s="6">
        <v>1196.5</v>
      </c>
      <c r="F102" s="6">
        <v>104.2</v>
      </c>
      <c r="G102" s="7">
        <f t="shared" si="5"/>
        <v>1304.6000000000001</v>
      </c>
      <c r="H102" s="60">
        <f t="shared" si="6"/>
        <v>3.2484651002401369E-4</v>
      </c>
      <c r="I102" s="60">
        <f t="shared" si="7"/>
        <v>5.7129624324375947E-2</v>
      </c>
      <c r="J102" s="60">
        <f t="shared" si="8"/>
        <v>3.7372719349528186E-3</v>
      </c>
      <c r="K102" s="60">
        <f t="shared" si="9"/>
        <v>2.1446453649867168E-2</v>
      </c>
    </row>
    <row r="103" spans="1:11" x14ac:dyDescent="0.2">
      <c r="A103" s="22"/>
      <c r="B103" s="16" t="s">
        <v>132</v>
      </c>
      <c r="C103" s="6">
        <v>5.0999999999999996</v>
      </c>
      <c r="D103" s="6">
        <v>0</v>
      </c>
      <c r="E103" s="6">
        <v>0</v>
      </c>
      <c r="F103" s="6">
        <v>86.2</v>
      </c>
      <c r="G103" s="7">
        <f t="shared" si="5"/>
        <v>91.3</v>
      </c>
      <c r="H103" s="60">
        <f t="shared" si="6"/>
        <v>4.2479928233909482E-4</v>
      </c>
      <c r="I103" s="60">
        <f t="shared" si="7"/>
        <v>0</v>
      </c>
      <c r="J103" s="60">
        <f t="shared" si="8"/>
        <v>3.0916779346730609E-3</v>
      </c>
      <c r="K103" s="60">
        <f t="shared" si="9"/>
        <v>1.5008900952267915E-3</v>
      </c>
    </row>
    <row r="104" spans="1:11" x14ac:dyDescent="0.2">
      <c r="A104" s="14" t="s">
        <v>2</v>
      </c>
      <c r="B104" s="15" t="s">
        <v>100</v>
      </c>
      <c r="C104" s="6">
        <v>87</v>
      </c>
      <c r="D104" s="6">
        <v>0</v>
      </c>
      <c r="E104" s="6">
        <v>470.4</v>
      </c>
      <c r="F104" s="6">
        <v>138.69999999999999</v>
      </c>
      <c r="G104" s="7">
        <f t="shared" si="5"/>
        <v>696.09999999999991</v>
      </c>
      <c r="H104" s="60">
        <f t="shared" si="6"/>
        <v>7.2465759928433829E-3</v>
      </c>
      <c r="I104" s="60">
        <f t="shared" si="7"/>
        <v>2.2460322007677763E-2</v>
      </c>
      <c r="J104" s="60">
        <f t="shared" si="8"/>
        <v>4.9746604354890195E-3</v>
      </c>
      <c r="K104" s="60">
        <f t="shared" si="9"/>
        <v>1.1443259532172722E-2</v>
      </c>
    </row>
    <row r="105" spans="1:11" x14ac:dyDescent="0.2">
      <c r="A105" s="8" t="s">
        <v>2</v>
      </c>
      <c r="B105" s="9" t="s">
        <v>101</v>
      </c>
      <c r="C105" s="6">
        <v>14.8</v>
      </c>
      <c r="D105" s="6">
        <v>0</v>
      </c>
      <c r="E105" s="6">
        <v>0</v>
      </c>
      <c r="F105" s="6">
        <v>161.5</v>
      </c>
      <c r="G105" s="7">
        <f t="shared" si="5"/>
        <v>176.3</v>
      </c>
      <c r="H105" s="60">
        <f t="shared" si="6"/>
        <v>1.2327508585526674E-3</v>
      </c>
      <c r="I105" s="60">
        <f t="shared" si="7"/>
        <v>0</v>
      </c>
      <c r="J105" s="60">
        <f t="shared" si="8"/>
        <v>5.79241283584338E-3</v>
      </c>
      <c r="K105" s="60">
        <f t="shared" si="9"/>
        <v>2.8982138421520631E-3</v>
      </c>
    </row>
    <row r="106" spans="1:11" x14ac:dyDescent="0.2">
      <c r="A106" s="8" t="s">
        <v>2</v>
      </c>
      <c r="B106" s="9" t="s">
        <v>102</v>
      </c>
      <c r="C106" s="6">
        <v>282.3</v>
      </c>
      <c r="D106" s="6">
        <v>0</v>
      </c>
      <c r="E106" s="6">
        <v>580.1</v>
      </c>
      <c r="F106" s="6">
        <v>105.7</v>
      </c>
      <c r="G106" s="7">
        <f t="shared" si="5"/>
        <v>968.10000000000014</v>
      </c>
      <c r="H106" s="60">
        <f t="shared" si="6"/>
        <v>2.3513889687122837E-2</v>
      </c>
      <c r="I106" s="60">
        <f t="shared" si="7"/>
        <v>2.769819897247847E-2</v>
      </c>
      <c r="J106" s="60">
        <f t="shared" si="8"/>
        <v>3.7910714349761315E-3</v>
      </c>
      <c r="K106" s="60">
        <f t="shared" si="9"/>
        <v>1.5914695522333593E-2</v>
      </c>
    </row>
    <row r="107" spans="1:11" ht="13.5" thickBot="1" x14ac:dyDescent="0.25">
      <c r="A107" s="14" t="s">
        <v>103</v>
      </c>
      <c r="B107" s="56" t="s">
        <v>19</v>
      </c>
      <c r="C107" s="32">
        <f>SUM(C101:C106)</f>
        <v>522.1</v>
      </c>
      <c r="D107" s="10">
        <f>SUM(D101:D106)</f>
        <v>0</v>
      </c>
      <c r="E107" s="31">
        <f>SUM(E101:E106)</f>
        <v>2533.6</v>
      </c>
      <c r="F107" s="32">
        <f>SUM(F101:F106)</f>
        <v>929.90000000000009</v>
      </c>
      <c r="G107" s="43">
        <f t="shared" si="5"/>
        <v>3985.6</v>
      </c>
      <c r="H107" s="60">
        <f t="shared" si="6"/>
        <v>4.3487785354753221E-2</v>
      </c>
      <c r="I107" s="60">
        <f t="shared" si="7"/>
        <v>0.12097251666380184</v>
      </c>
      <c r="J107" s="60">
        <f t="shared" si="8"/>
        <v>3.3352103381119255E-2</v>
      </c>
      <c r="K107" s="60">
        <f t="shared" si="9"/>
        <v>6.5519688538180729E-2</v>
      </c>
    </row>
    <row r="108" spans="1:11" ht="13.5" thickTop="1" x14ac:dyDescent="0.2">
      <c r="A108" s="54"/>
      <c r="B108" s="13" t="s">
        <v>104</v>
      </c>
      <c r="C108" s="50">
        <v>9.1</v>
      </c>
      <c r="D108" s="6">
        <v>0</v>
      </c>
      <c r="E108" s="48">
        <v>0</v>
      </c>
      <c r="F108" s="50">
        <v>89.4</v>
      </c>
      <c r="G108" s="53">
        <f t="shared" si="5"/>
        <v>98.5</v>
      </c>
      <c r="H108" s="60">
        <f t="shared" si="6"/>
        <v>7.5797519005603193E-4</v>
      </c>
      <c r="I108" s="60">
        <f t="shared" si="7"/>
        <v>0</v>
      </c>
      <c r="J108" s="60">
        <f t="shared" si="8"/>
        <v>3.2064502013894624E-3</v>
      </c>
      <c r="K108" s="60">
        <f t="shared" si="9"/>
        <v>1.6192516361428146E-3</v>
      </c>
    </row>
    <row r="109" spans="1:11" x14ac:dyDescent="0.2">
      <c r="A109" s="8"/>
      <c r="B109" s="9" t="s">
        <v>105</v>
      </c>
      <c r="C109" s="6">
        <v>62.6</v>
      </c>
      <c r="D109" s="6">
        <v>0</v>
      </c>
      <c r="E109" s="6">
        <v>21</v>
      </c>
      <c r="F109" s="6">
        <v>121.8</v>
      </c>
      <c r="G109" s="7">
        <f t="shared" si="5"/>
        <v>205.39999999999998</v>
      </c>
      <c r="H109" s="60">
        <f t="shared" si="6"/>
        <v>5.2142029557700658E-3</v>
      </c>
      <c r="I109" s="60">
        <f t="shared" si="7"/>
        <v>1.0026929467713288E-3</v>
      </c>
      <c r="J109" s="60">
        <f t="shared" si="8"/>
        <v>4.3685194018930253E-3</v>
      </c>
      <c r="K109" s="60">
        <f t="shared" si="9"/>
        <v>3.3765917366876557E-3</v>
      </c>
    </row>
    <row r="110" spans="1:11" ht="13.5" thickBot="1" x14ac:dyDescent="0.25">
      <c r="A110" s="36" t="s">
        <v>106</v>
      </c>
      <c r="B110" s="34" t="s">
        <v>19</v>
      </c>
      <c r="C110" s="31">
        <f>SUM(C108:C109)</f>
        <v>71.7</v>
      </c>
      <c r="D110" s="10">
        <f>SUM(D108:D109)</f>
        <v>0</v>
      </c>
      <c r="E110" s="32">
        <f>SUM(E108:E109)</f>
        <v>21</v>
      </c>
      <c r="F110" s="32">
        <f>SUM(F108:F109)</f>
        <v>211.2</v>
      </c>
      <c r="G110" s="43">
        <f t="shared" si="5"/>
        <v>303.89999999999998</v>
      </c>
      <c r="H110" s="60">
        <f t="shared" si="6"/>
        <v>5.9721781458260985E-3</v>
      </c>
      <c r="I110" s="60">
        <f t="shared" si="7"/>
        <v>1.0026929467713288E-3</v>
      </c>
      <c r="J110" s="60">
        <f t="shared" si="8"/>
        <v>7.5749696032824873E-3</v>
      </c>
      <c r="K110" s="60">
        <f t="shared" si="9"/>
        <v>4.9958433728304703E-3</v>
      </c>
    </row>
    <row r="111" spans="1:11" ht="13.5" thickTop="1" x14ac:dyDescent="0.2">
      <c r="A111" s="1"/>
      <c r="B111" s="55" t="s">
        <v>107</v>
      </c>
      <c r="C111" s="48">
        <v>23.8</v>
      </c>
      <c r="D111" s="6">
        <v>0</v>
      </c>
      <c r="E111" s="50">
        <v>359.5</v>
      </c>
      <c r="F111" s="50">
        <v>103.7</v>
      </c>
      <c r="G111" s="53">
        <f t="shared" si="5"/>
        <v>487</v>
      </c>
      <c r="H111" s="60">
        <f t="shared" si="6"/>
        <v>1.9823966509157761E-3</v>
      </c>
      <c r="I111" s="60">
        <f t="shared" si="7"/>
        <v>1.7165148303061557E-2</v>
      </c>
      <c r="J111" s="60">
        <f t="shared" si="8"/>
        <v>3.719338768278381E-3</v>
      </c>
      <c r="K111" s="60">
        <f t="shared" si="9"/>
        <v>8.0058431147365557E-3</v>
      </c>
    </row>
    <row r="112" spans="1:11" x14ac:dyDescent="0.2">
      <c r="A112" s="8"/>
      <c r="B112" s="9" t="s">
        <v>108</v>
      </c>
      <c r="C112" s="6">
        <v>10.9</v>
      </c>
      <c r="D112" s="6">
        <v>0</v>
      </c>
      <c r="E112" s="6">
        <v>532.79999999999995</v>
      </c>
      <c r="F112" s="6">
        <v>47.5</v>
      </c>
      <c r="G112" s="7">
        <f t="shared" si="5"/>
        <v>591.19999999999993</v>
      </c>
      <c r="H112" s="60">
        <f t="shared" si="6"/>
        <v>9.079043485286537E-4</v>
      </c>
      <c r="I112" s="60">
        <f t="shared" si="7"/>
        <v>2.5439752478083996E-2</v>
      </c>
      <c r="J112" s="60">
        <f t="shared" si="8"/>
        <v>1.7036508340715823E-3</v>
      </c>
      <c r="K112" s="60">
        <f t="shared" si="9"/>
        <v>9.7187976374378867E-3</v>
      </c>
    </row>
    <row r="113" spans="1:11" x14ac:dyDescent="0.2">
      <c r="A113" s="8"/>
      <c r="B113" s="9" t="s">
        <v>109</v>
      </c>
      <c r="C113" s="6">
        <v>0.3</v>
      </c>
      <c r="D113" s="6">
        <v>0</v>
      </c>
      <c r="E113" s="6">
        <v>376</v>
      </c>
      <c r="F113" s="6">
        <v>17.2</v>
      </c>
      <c r="G113" s="7">
        <f t="shared" si="5"/>
        <v>393.5</v>
      </c>
      <c r="H113" s="60">
        <f t="shared" si="6"/>
        <v>2.4988193078770283E-5</v>
      </c>
      <c r="I113" s="60">
        <f t="shared" si="7"/>
        <v>1.7952978475524742E-2</v>
      </c>
      <c r="J113" s="60">
        <f t="shared" si="8"/>
        <v>6.1690093360065716E-4</v>
      </c>
      <c r="K113" s="60">
        <f t="shared" si="9"/>
        <v>6.4687869931187563E-3</v>
      </c>
    </row>
    <row r="114" spans="1:11" x14ac:dyDescent="0.2">
      <c r="A114" s="8"/>
      <c r="B114" s="9" t="s">
        <v>110</v>
      </c>
      <c r="C114" s="6">
        <v>3.4</v>
      </c>
      <c r="D114" s="6">
        <v>0</v>
      </c>
      <c r="E114" s="6">
        <v>313.5</v>
      </c>
      <c r="F114" s="6">
        <v>68.900000000000006</v>
      </c>
      <c r="G114" s="7">
        <f t="shared" si="5"/>
        <v>385.79999999999995</v>
      </c>
      <c r="H114" s="60">
        <f t="shared" si="6"/>
        <v>2.8319952155939657E-4</v>
      </c>
      <c r="I114" s="60">
        <f t="shared" si="7"/>
        <v>1.4968773276800551E-2</v>
      </c>
      <c r="J114" s="60">
        <f t="shared" si="8"/>
        <v>2.4711903677375165E-3</v>
      </c>
      <c r="K114" s="60">
        <f t="shared" si="9"/>
        <v>6.3422059007502314E-3</v>
      </c>
    </row>
    <row r="115" spans="1:11" x14ac:dyDescent="0.2">
      <c r="A115" s="8"/>
      <c r="B115" s="9" t="s">
        <v>111</v>
      </c>
      <c r="C115" s="6">
        <v>0.2</v>
      </c>
      <c r="D115" s="6">
        <v>0</v>
      </c>
      <c r="E115" s="6">
        <v>0</v>
      </c>
      <c r="F115" s="6">
        <v>19.600000000000001</v>
      </c>
      <c r="G115" s="7">
        <f t="shared" si="5"/>
        <v>19.8</v>
      </c>
      <c r="H115" s="60">
        <f t="shared" si="6"/>
        <v>1.6658795385846859E-5</v>
      </c>
      <c r="I115" s="60">
        <f t="shared" si="7"/>
        <v>0</v>
      </c>
      <c r="J115" s="60">
        <f t="shared" si="8"/>
        <v>7.029801336379582E-4</v>
      </c>
      <c r="K115" s="60">
        <f t="shared" si="9"/>
        <v>3.2549423751906324E-4</v>
      </c>
    </row>
    <row r="116" spans="1:11" ht="13.5" thickBot="1" x14ac:dyDescent="0.25">
      <c r="A116" s="14" t="s">
        <v>112</v>
      </c>
      <c r="B116" s="34" t="s">
        <v>19</v>
      </c>
      <c r="C116" s="32">
        <f>SUM(C111:C115)</f>
        <v>38.6</v>
      </c>
      <c r="D116" s="10">
        <f>SUM(D111:D115)</f>
        <v>0</v>
      </c>
      <c r="E116" s="31">
        <f>SUM(E111:E115)</f>
        <v>1581.8</v>
      </c>
      <c r="F116" s="31">
        <f>SUM(F111:F115)</f>
        <v>256.89999999999998</v>
      </c>
      <c r="G116" s="29">
        <f t="shared" si="5"/>
        <v>1877.2999999999997</v>
      </c>
      <c r="H116" s="60">
        <f t="shared" si="6"/>
        <v>3.2151475094684434E-3</v>
      </c>
      <c r="I116" s="60">
        <f t="shared" si="7"/>
        <v>7.5526652533470851E-2</v>
      </c>
      <c r="J116" s="60">
        <f t="shared" si="8"/>
        <v>9.2140610373260944E-3</v>
      </c>
      <c r="K116" s="60">
        <f t="shared" si="9"/>
        <v>3.0861127883562493E-2</v>
      </c>
    </row>
    <row r="117" spans="1:11" ht="13.5" thickTop="1" x14ac:dyDescent="0.2">
      <c r="A117" s="54"/>
      <c r="B117" s="58" t="s">
        <v>113</v>
      </c>
      <c r="C117" s="50">
        <v>0.3</v>
      </c>
      <c r="D117" s="6">
        <v>0</v>
      </c>
      <c r="E117" s="48">
        <v>21.4</v>
      </c>
      <c r="F117" s="48">
        <v>42.8</v>
      </c>
      <c r="G117" s="47">
        <f t="shared" si="5"/>
        <v>64.5</v>
      </c>
      <c r="H117" s="60">
        <f t="shared" si="6"/>
        <v>2.4988193078770283E-5</v>
      </c>
      <c r="I117" s="60">
        <f t="shared" si="7"/>
        <v>1.0217918600431636E-3</v>
      </c>
      <c r="J117" s="60">
        <f t="shared" si="8"/>
        <v>1.5350790673318677E-3</v>
      </c>
      <c r="K117" s="60">
        <f t="shared" si="9"/>
        <v>1.0603221373727059E-3</v>
      </c>
    </row>
    <row r="118" spans="1:11" x14ac:dyDescent="0.2">
      <c r="A118" s="8" t="s">
        <v>2</v>
      </c>
      <c r="B118" s="18" t="s">
        <v>114</v>
      </c>
      <c r="C118" s="6">
        <v>98.1</v>
      </c>
      <c r="D118" s="6">
        <v>0</v>
      </c>
      <c r="E118" s="6">
        <v>0</v>
      </c>
      <c r="F118" s="6">
        <v>34.1</v>
      </c>
      <c r="G118" s="7">
        <f t="shared" si="5"/>
        <v>132.19999999999999</v>
      </c>
      <c r="H118" s="60">
        <f t="shared" si="6"/>
        <v>8.1711391367578819E-3</v>
      </c>
      <c r="I118" s="60">
        <f t="shared" si="7"/>
        <v>0</v>
      </c>
      <c r="J118" s="60">
        <f t="shared" si="8"/>
        <v>1.2230419671966518E-3</v>
      </c>
      <c r="K118" s="60">
        <f t="shared" si="9"/>
        <v>2.1732494040414222E-3</v>
      </c>
    </row>
    <row r="119" spans="1:11" x14ac:dyDescent="0.2">
      <c r="A119" s="8" t="s">
        <v>2</v>
      </c>
      <c r="B119" s="18" t="s">
        <v>115</v>
      </c>
      <c r="C119" s="6">
        <v>45.8</v>
      </c>
      <c r="D119" s="6">
        <v>0</v>
      </c>
      <c r="E119" s="6">
        <v>0</v>
      </c>
      <c r="F119" s="6">
        <v>127.9</v>
      </c>
      <c r="G119" s="7">
        <f>SUM(C119:F119)</f>
        <v>173.7</v>
      </c>
      <c r="H119" s="60">
        <f t="shared" si="6"/>
        <v>3.81486414335893E-3</v>
      </c>
      <c r="I119" s="60">
        <f t="shared" si="7"/>
        <v>0</v>
      </c>
      <c r="J119" s="60">
        <f t="shared" si="8"/>
        <v>4.5873040353211656E-3</v>
      </c>
      <c r="K119" s="60">
        <f t="shared" si="9"/>
        <v>2.8554721745990544E-3</v>
      </c>
    </row>
    <row r="120" spans="1:11" x14ac:dyDescent="0.2">
      <c r="A120" s="8" t="s">
        <v>2</v>
      </c>
      <c r="B120" s="18" t="s">
        <v>116</v>
      </c>
      <c r="C120" s="6">
        <v>0</v>
      </c>
      <c r="D120" s="6">
        <v>0</v>
      </c>
      <c r="E120" s="6">
        <v>0</v>
      </c>
      <c r="F120" s="6">
        <v>42.4</v>
      </c>
      <c r="G120" s="7">
        <f t="shared" si="5"/>
        <v>42.4</v>
      </c>
      <c r="H120" s="60">
        <f t="shared" si="6"/>
        <v>0</v>
      </c>
      <c r="I120" s="60">
        <f t="shared" si="7"/>
        <v>0</v>
      </c>
      <c r="J120" s="60">
        <f t="shared" si="8"/>
        <v>1.5207325339923177E-3</v>
      </c>
      <c r="K120" s="60">
        <f t="shared" si="9"/>
        <v>6.9701796317213534E-4</v>
      </c>
    </row>
    <row r="121" spans="1:11" x14ac:dyDescent="0.2">
      <c r="A121" s="8" t="s">
        <v>2</v>
      </c>
      <c r="B121" s="18" t="s">
        <v>117</v>
      </c>
      <c r="C121" s="6">
        <v>132.4</v>
      </c>
      <c r="D121" s="6">
        <v>0</v>
      </c>
      <c r="E121" s="6">
        <v>219.8</v>
      </c>
      <c r="F121" s="6">
        <v>85</v>
      </c>
      <c r="G121" s="7">
        <f t="shared" si="5"/>
        <v>437.20000000000005</v>
      </c>
      <c r="H121" s="60">
        <f t="shared" si="6"/>
        <v>1.1028122545430619E-2</v>
      </c>
      <c r="I121" s="60">
        <f t="shared" si="7"/>
        <v>1.0494852842873242E-2</v>
      </c>
      <c r="J121" s="60">
        <f t="shared" si="8"/>
        <v>3.0486383346544103E-3</v>
      </c>
      <c r="K121" s="60">
        <f t="shared" si="9"/>
        <v>7.1871757900673974E-3</v>
      </c>
    </row>
    <row r="122" spans="1:11" x14ac:dyDescent="0.2">
      <c r="A122" s="17"/>
      <c r="B122" s="19" t="s">
        <v>118</v>
      </c>
      <c r="C122" s="6">
        <v>0.2</v>
      </c>
      <c r="D122" s="6">
        <v>0</v>
      </c>
      <c r="E122" s="6">
        <v>456.8</v>
      </c>
      <c r="F122" s="6">
        <v>129.5</v>
      </c>
      <c r="G122" s="7">
        <f t="shared" si="5"/>
        <v>586.5</v>
      </c>
      <c r="H122" s="60">
        <f t="shared" si="6"/>
        <v>1.6658795385846859E-5</v>
      </c>
      <c r="I122" s="60">
        <f t="shared" si="7"/>
        <v>2.1810958956435381E-2</v>
      </c>
      <c r="J122" s="60">
        <f t="shared" si="8"/>
        <v>4.6446901686793664E-3</v>
      </c>
      <c r="K122" s="60">
        <f t="shared" si="9"/>
        <v>9.6415338537843738E-3</v>
      </c>
    </row>
    <row r="123" spans="1:11" x14ac:dyDescent="0.2">
      <c r="A123" s="8" t="s">
        <v>2</v>
      </c>
      <c r="B123" s="18" t="s">
        <v>119</v>
      </c>
      <c r="C123" s="6">
        <v>8.4</v>
      </c>
      <c r="D123" s="6">
        <v>0</v>
      </c>
      <c r="E123" s="6">
        <v>0</v>
      </c>
      <c r="F123" s="6">
        <v>39.299999999999997</v>
      </c>
      <c r="G123" s="7">
        <f t="shared" si="5"/>
        <v>47.699999999999996</v>
      </c>
      <c r="H123" s="60">
        <f t="shared" si="6"/>
        <v>6.9966940620556797E-4</v>
      </c>
      <c r="I123" s="60">
        <f t="shared" si="7"/>
        <v>0</v>
      </c>
      <c r="J123" s="60">
        <f t="shared" si="8"/>
        <v>1.4095469006108038E-3</v>
      </c>
      <c r="K123" s="60">
        <f t="shared" si="9"/>
        <v>7.8414520856865224E-4</v>
      </c>
    </row>
    <row r="124" spans="1:11" x14ac:dyDescent="0.2">
      <c r="A124" s="8" t="s">
        <v>2</v>
      </c>
      <c r="B124" s="18" t="s">
        <v>120</v>
      </c>
      <c r="C124" s="6">
        <v>382.4</v>
      </c>
      <c r="D124" s="6">
        <v>0</v>
      </c>
      <c r="E124" s="6">
        <v>891.5</v>
      </c>
      <c r="F124" s="6">
        <v>25.3</v>
      </c>
      <c r="G124" s="7">
        <f t="shared" si="5"/>
        <v>1299.2</v>
      </c>
      <c r="H124" s="60">
        <f t="shared" si="6"/>
        <v>3.1851616777739185E-2</v>
      </c>
      <c r="I124" s="60">
        <f t="shared" si="7"/>
        <v>4.2566702954601889E-2</v>
      </c>
      <c r="J124" s="60">
        <f t="shared" si="8"/>
        <v>9.074182337265481E-4</v>
      </c>
      <c r="K124" s="60">
        <f t="shared" si="9"/>
        <v>2.1357682494180151E-2</v>
      </c>
    </row>
    <row r="125" spans="1:11" x14ac:dyDescent="0.2">
      <c r="A125" s="8" t="s">
        <v>2</v>
      </c>
      <c r="B125" s="18" t="s">
        <v>121</v>
      </c>
      <c r="C125" s="6">
        <v>10.7</v>
      </c>
      <c r="D125" s="6">
        <v>0</v>
      </c>
      <c r="E125" s="6">
        <v>12.3</v>
      </c>
      <c r="F125" s="6">
        <v>41.7</v>
      </c>
      <c r="G125" s="7">
        <f t="shared" si="5"/>
        <v>64.7</v>
      </c>
      <c r="H125" s="60">
        <f t="shared" si="6"/>
        <v>8.9124555314280677E-4</v>
      </c>
      <c r="I125" s="60">
        <f t="shared" si="7"/>
        <v>5.8729158310892116E-4</v>
      </c>
      <c r="J125" s="60">
        <f t="shared" si="8"/>
        <v>1.495626100648105E-3</v>
      </c>
      <c r="K125" s="60">
        <f t="shared" si="9"/>
        <v>1.0636099579537067E-3</v>
      </c>
    </row>
    <row r="126" spans="1:11" ht="13.5" thickBot="1" x14ac:dyDescent="0.25">
      <c r="A126" s="36" t="s">
        <v>122</v>
      </c>
      <c r="B126" s="34" t="s">
        <v>147</v>
      </c>
      <c r="C126" s="31">
        <f>SUM(C117:C125)</f>
        <v>678.3</v>
      </c>
      <c r="D126" s="10">
        <f>SUM(D117:D125)</f>
        <v>0</v>
      </c>
      <c r="E126" s="31">
        <f>SUM(E117:E125)</f>
        <v>1601.8</v>
      </c>
      <c r="F126" s="31">
        <f>SUM(F117:F125)</f>
        <v>568.00000000000011</v>
      </c>
      <c r="G126" s="43">
        <f t="shared" si="5"/>
        <v>2848.1</v>
      </c>
      <c r="H126" s="60">
        <f t="shared" si="6"/>
        <v>5.649830455109961E-2</v>
      </c>
      <c r="I126" s="60">
        <f t="shared" si="7"/>
        <v>7.6481598197062586E-2</v>
      </c>
      <c r="J126" s="60">
        <f t="shared" si="8"/>
        <v>2.0372077342161239E-2</v>
      </c>
      <c r="K126" s="60">
        <f t="shared" si="9"/>
        <v>4.6820208983739592E-2</v>
      </c>
    </row>
    <row r="127" spans="1:11" ht="13.5" hidden="1" thickTop="1" x14ac:dyDescent="0.2">
      <c r="A127" s="1"/>
      <c r="B127" s="55" t="s">
        <v>123</v>
      </c>
      <c r="C127" s="48">
        <v>0</v>
      </c>
      <c r="D127" s="6">
        <v>0</v>
      </c>
      <c r="E127" s="48">
        <v>0</v>
      </c>
      <c r="F127" s="48">
        <v>0</v>
      </c>
      <c r="G127" s="53">
        <f t="shared" si="5"/>
        <v>0</v>
      </c>
      <c r="H127" s="60">
        <f t="shared" si="6"/>
        <v>0</v>
      </c>
      <c r="I127" s="60">
        <f t="shared" si="7"/>
        <v>0</v>
      </c>
      <c r="J127" s="60">
        <f t="shared" si="8"/>
        <v>0</v>
      </c>
      <c r="K127" s="60">
        <f t="shared" si="9"/>
        <v>0</v>
      </c>
    </row>
    <row r="128" spans="1:11" hidden="1" x14ac:dyDescent="0.2">
      <c r="A128" s="1"/>
      <c r="B128" s="9" t="s">
        <v>128</v>
      </c>
      <c r="C128" s="6">
        <v>0</v>
      </c>
      <c r="D128" s="6">
        <v>0</v>
      </c>
      <c r="E128" s="6">
        <v>0</v>
      </c>
      <c r="F128" s="6">
        <v>0</v>
      </c>
      <c r="G128" s="7">
        <f t="shared" si="5"/>
        <v>0</v>
      </c>
      <c r="H128" s="60">
        <f t="shared" si="6"/>
        <v>0</v>
      </c>
      <c r="I128" s="60">
        <f t="shared" si="7"/>
        <v>0</v>
      </c>
      <c r="J128" s="60">
        <f t="shared" si="8"/>
        <v>0</v>
      </c>
      <c r="K128" s="60">
        <f t="shared" si="9"/>
        <v>0</v>
      </c>
    </row>
    <row r="129" spans="1:15" hidden="1" x14ac:dyDescent="0.2">
      <c r="A129" s="1"/>
      <c r="B129" s="9" t="s">
        <v>129</v>
      </c>
      <c r="C129" s="6">
        <v>0</v>
      </c>
      <c r="D129" s="6">
        <v>0</v>
      </c>
      <c r="E129" s="6">
        <v>0</v>
      </c>
      <c r="F129" s="6">
        <v>0</v>
      </c>
      <c r="G129" s="7">
        <f t="shared" si="5"/>
        <v>0</v>
      </c>
      <c r="H129" s="60">
        <f t="shared" si="6"/>
        <v>0</v>
      </c>
      <c r="I129" s="60">
        <f t="shared" si="7"/>
        <v>0</v>
      </c>
      <c r="J129" s="60">
        <f t="shared" si="8"/>
        <v>0</v>
      </c>
      <c r="K129" s="60">
        <f t="shared" si="9"/>
        <v>0</v>
      </c>
    </row>
    <row r="130" spans="1:15" hidden="1" x14ac:dyDescent="0.2">
      <c r="A130" s="8"/>
      <c r="B130" s="9" t="s">
        <v>124</v>
      </c>
      <c r="C130" s="6">
        <v>0</v>
      </c>
      <c r="D130" s="6">
        <v>0</v>
      </c>
      <c r="E130" s="6">
        <v>0</v>
      </c>
      <c r="F130" s="6">
        <v>0</v>
      </c>
      <c r="G130" s="7">
        <f t="shared" si="5"/>
        <v>0</v>
      </c>
      <c r="H130" s="60">
        <f t="shared" si="6"/>
        <v>0</v>
      </c>
      <c r="I130" s="60">
        <f t="shared" si="7"/>
        <v>0</v>
      </c>
      <c r="J130" s="60">
        <f t="shared" si="8"/>
        <v>0</v>
      </c>
      <c r="K130" s="60">
        <f t="shared" si="9"/>
        <v>0</v>
      </c>
    </row>
    <row r="131" spans="1:15" hidden="1" x14ac:dyDescent="0.2">
      <c r="A131" s="8"/>
      <c r="B131" s="9" t="s">
        <v>130</v>
      </c>
      <c r="C131" s="6">
        <v>0</v>
      </c>
      <c r="D131" s="6">
        <v>0</v>
      </c>
      <c r="E131" s="6">
        <v>0</v>
      </c>
      <c r="F131" s="6">
        <v>0</v>
      </c>
      <c r="G131" s="7">
        <f t="shared" si="5"/>
        <v>0</v>
      </c>
      <c r="H131" s="60">
        <f t="shared" si="6"/>
        <v>0</v>
      </c>
      <c r="I131" s="60">
        <f t="shared" si="7"/>
        <v>0</v>
      </c>
      <c r="J131" s="60">
        <f t="shared" si="8"/>
        <v>0</v>
      </c>
      <c r="K131" s="60">
        <f t="shared" si="9"/>
        <v>0</v>
      </c>
    </row>
    <row r="132" spans="1:15" hidden="1" x14ac:dyDescent="0.2">
      <c r="A132" s="8"/>
      <c r="B132" s="9" t="s">
        <v>131</v>
      </c>
      <c r="C132" s="6">
        <v>0</v>
      </c>
      <c r="D132" s="6">
        <v>0</v>
      </c>
      <c r="E132" s="6">
        <v>0</v>
      </c>
      <c r="F132" s="6">
        <v>0</v>
      </c>
      <c r="G132" s="7">
        <f t="shared" si="5"/>
        <v>0</v>
      </c>
      <c r="H132" s="60">
        <f t="shared" si="6"/>
        <v>0</v>
      </c>
      <c r="I132" s="60">
        <f t="shared" si="7"/>
        <v>0</v>
      </c>
      <c r="J132" s="60">
        <f t="shared" si="8"/>
        <v>0</v>
      </c>
      <c r="K132" s="60">
        <f t="shared" si="9"/>
        <v>0</v>
      </c>
    </row>
    <row r="133" spans="1:15" hidden="1" x14ac:dyDescent="0.2">
      <c r="A133" s="8"/>
      <c r="B133" s="9" t="s">
        <v>125</v>
      </c>
      <c r="C133" s="6">
        <v>0</v>
      </c>
      <c r="D133" s="6">
        <v>0</v>
      </c>
      <c r="E133" s="6">
        <v>0</v>
      </c>
      <c r="F133" s="6">
        <v>0</v>
      </c>
      <c r="G133" s="7">
        <f t="shared" si="5"/>
        <v>0</v>
      </c>
      <c r="H133" s="60">
        <f t="shared" si="6"/>
        <v>0</v>
      </c>
      <c r="I133" s="60">
        <f t="shared" si="7"/>
        <v>0</v>
      </c>
      <c r="J133" s="60">
        <f t="shared" si="8"/>
        <v>0</v>
      </c>
      <c r="K133" s="60">
        <f t="shared" si="9"/>
        <v>0</v>
      </c>
    </row>
    <row r="134" spans="1:15" hidden="1" x14ac:dyDescent="0.2">
      <c r="A134" s="8"/>
      <c r="B134" s="9" t="s">
        <v>126</v>
      </c>
      <c r="C134" s="6">
        <v>0</v>
      </c>
      <c r="D134" s="6">
        <v>0</v>
      </c>
      <c r="E134" s="6">
        <v>0</v>
      </c>
      <c r="F134" s="6">
        <v>0</v>
      </c>
      <c r="G134" s="7">
        <f t="shared" si="5"/>
        <v>0</v>
      </c>
      <c r="H134" s="60">
        <f t="shared" si="6"/>
        <v>0</v>
      </c>
      <c r="I134" s="60">
        <f t="shared" si="7"/>
        <v>0</v>
      </c>
      <c r="J134" s="60">
        <f t="shared" si="8"/>
        <v>0</v>
      </c>
      <c r="K134" s="60">
        <f t="shared" si="9"/>
        <v>0</v>
      </c>
    </row>
    <row r="135" spans="1:15" ht="13.5" hidden="1" thickBot="1" x14ac:dyDescent="0.25">
      <c r="A135" s="36" t="s">
        <v>127</v>
      </c>
      <c r="B135" s="34" t="s">
        <v>19</v>
      </c>
      <c r="C135" s="32">
        <f>SUM(C127:C134)</f>
        <v>0</v>
      </c>
      <c r="D135" s="10">
        <f>SUM(D127:D134)</f>
        <v>0</v>
      </c>
      <c r="E135" s="32">
        <f>SUM(E127:E134)</f>
        <v>0</v>
      </c>
      <c r="F135" s="31">
        <f>SUM(F127:F134)</f>
        <v>0</v>
      </c>
      <c r="G135" s="29">
        <f>SUM(C135:F135)</f>
        <v>0</v>
      </c>
      <c r="H135" s="60">
        <f t="shared" ref="H135:H136" si="10">C135/$C$136</f>
        <v>0</v>
      </c>
      <c r="I135" s="60">
        <f t="shared" ref="I135:I136" si="11">E135/$E$136</f>
        <v>0</v>
      </c>
      <c r="J135" s="60">
        <f t="shared" ref="J135:J136" si="12">F135/$F$136</f>
        <v>0</v>
      </c>
      <c r="K135" s="60">
        <f t="shared" ref="K135:K136" si="13">G135/$G$136</f>
        <v>0</v>
      </c>
    </row>
    <row r="136" spans="1:15" ht="19.5" hidden="1" customHeight="1" thickTop="1" thickBot="1" x14ac:dyDescent="0.3">
      <c r="A136" s="27" t="s">
        <v>0</v>
      </c>
      <c r="B136" s="35"/>
      <c r="C136" s="33">
        <f>SUM(C135,C126,C116,C110,C107,C100,C94,C89,C86,C80,C71,C60,C50,C42,C37,C34,C21,C16,C14,C77)</f>
        <v>12005.669999999998</v>
      </c>
      <c r="D136" s="28">
        <f>SUM(D135,D126,D116,D110,D107,D100,D94,D89,D86,D80,D71,D60,D50,D42,D37,D34,D21,D16,D14,D77)</f>
        <v>0</v>
      </c>
      <c r="E136" s="33">
        <f>SUM(E135,E126,E116,E110,E107,E100,E94,E89,E86,E80,E71,E60,E50,E42,E37,E34,E21,E16,E14,E77)</f>
        <v>20943.599999999999</v>
      </c>
      <c r="F136" s="28">
        <f>SUM(F135,F126,F116,F110,F107,F100,F94,F89,F86,F80,F71,F60,F50,F42,F37,F34,F21,F16,F14,F77)</f>
        <v>27881.299999999996</v>
      </c>
      <c r="G136" s="42">
        <f>SUM(C136:F136)</f>
        <v>60830.569999999992</v>
      </c>
      <c r="H136" s="59">
        <f t="shared" si="10"/>
        <v>1</v>
      </c>
      <c r="I136" s="59">
        <f t="shared" si="11"/>
        <v>1</v>
      </c>
      <c r="J136" s="59">
        <f t="shared" si="12"/>
        <v>1</v>
      </c>
      <c r="K136" s="60">
        <f t="shared" si="13"/>
        <v>1</v>
      </c>
    </row>
    <row r="137" spans="1:15" s="23" customFormat="1" ht="36" customHeight="1" thickTop="1" x14ac:dyDescent="0.2">
      <c r="A137" s="67" t="s">
        <v>136</v>
      </c>
      <c r="B137" s="68"/>
      <c r="C137" s="68"/>
      <c r="D137" s="68"/>
      <c r="E137" s="68"/>
      <c r="F137" s="68"/>
      <c r="G137" s="30"/>
      <c r="H137" s="59"/>
      <c r="I137" s="59"/>
      <c r="J137" s="59"/>
      <c r="K137" s="60"/>
    </row>
    <row r="138" spans="1:15" x14ac:dyDescent="0.2">
      <c r="A138" s="20"/>
      <c r="B138" s="1"/>
      <c r="C138" s="1"/>
      <c r="D138" s="1"/>
      <c r="E138" s="1"/>
      <c r="F138" s="1"/>
      <c r="G138" s="1"/>
    </row>
    <row r="139" spans="1:15" x14ac:dyDescent="0.2">
      <c r="A139" s="1"/>
      <c r="B139" s="1"/>
      <c r="C139" s="21"/>
      <c r="D139" s="21"/>
      <c r="E139" s="1"/>
      <c r="F139" s="1"/>
      <c r="G139" s="1"/>
    </row>
    <row r="141" spans="1:15" s="23" customFormat="1" ht="36" customHeight="1" x14ac:dyDescent="0.2">
      <c r="A141" s="62" t="s">
        <v>135</v>
      </c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 spans="1:15" x14ac:dyDescent="0.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4" spans="1:15" x14ac:dyDescent="0.2">
      <c r="A144" s="25"/>
    </row>
  </sheetData>
  <mergeCells count="7">
    <mergeCell ref="A141:O142"/>
    <mergeCell ref="A1:F1"/>
    <mergeCell ref="A2:F2"/>
    <mergeCell ref="A137:F137"/>
    <mergeCell ref="A3:F3"/>
    <mergeCell ref="H1:K2"/>
    <mergeCell ref="H3:K3"/>
  </mergeCells>
  <phoneticPr fontId="0" type="noConversion"/>
  <pageMargins left="0.75" right="0.75" top="1" bottom="1" header="0.5" footer="0.5"/>
  <pageSetup paperSize="9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mise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Cristina Veglianti</dc:creator>
  <cp:lastModifiedBy>FILIPPO LUCA ALBERTO MUNAFO'</cp:lastModifiedBy>
  <dcterms:created xsi:type="dcterms:W3CDTF">2011-10-19T06:58:55Z</dcterms:created>
  <dcterms:modified xsi:type="dcterms:W3CDTF">2026-02-26T09:15:24Z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2025-03-25T10:56:28Z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4709ccca-e39e-490b-89a2-ec74476917af</vt:lpwstr>
  </property>
  <property fmtid="{D5CDD505-2E9C-101B-9397-08002B2CF9AE}" pid="8" name="MSIP_Label_94f5f15f-11ca-4705-a655-5e46846a1c6b_ContentBits">
    <vt:lpwstr>0</vt:lpwstr>
  </property>
  <property fmtid="{D5CDD505-2E9C-101B-9397-08002B2CF9AE}" pid="9" name="MSIP_Label_94f5f15f-11ca-4705-a655-5e46846a1c6b_Tag">
    <vt:lpwstr>10, 3, 0, 1</vt:lpwstr>
  </property>
</Properties>
</file>